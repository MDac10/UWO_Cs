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0dbe9802d1fb1f64/Documents/"/>
    </mc:Choice>
  </mc:AlternateContent>
  <xr:revisionPtr revIDLastSave="0" documentId="14_{E6AD9DEB-5C1C-435A-AFDD-6CB4197B5F9C}" xr6:coauthVersionLast="47" xr6:coauthVersionMax="47" xr10:uidLastSave="{00000000-0000-0000-0000-000000000000}"/>
  <bookViews>
    <workbookView xWindow="1830" yWindow="1470" windowWidth="18830" windowHeight="12130" tabRatio="694" activeTab="4" xr2:uid="{00000000-000D-0000-FFFF-FFFF00000000}"/>
  </bookViews>
  <sheets>
    <sheet name="Q1 network" sheetId="1" r:id="rId1"/>
    <sheet name="Q1 PV plan" sheetId="2" r:id="rId2"/>
    <sheet name="Q1 status report" sheetId="3" r:id="rId3"/>
    <sheet name="Q1 indices table" sheetId="4" r:id="rId4"/>
    <sheet name="Q1 summary graph" sheetId="5" r:id="rId5"/>
    <sheet name="Q2 Network Diagra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" i="6" l="1"/>
  <c r="R4" i="6"/>
  <c r="R5" i="6"/>
  <c r="R6" i="6"/>
  <c r="R7" i="6"/>
  <c r="R8" i="6"/>
  <c r="R9" i="6"/>
  <c r="R10" i="6"/>
  <c r="R11" i="6"/>
  <c r="R12" i="6"/>
  <c r="R2" i="6"/>
  <c r="A15" i="6"/>
  <c r="M3" i="6"/>
  <c r="M4" i="6"/>
  <c r="M5" i="6"/>
  <c r="M6" i="6"/>
  <c r="M7" i="6"/>
  <c r="M8" i="6"/>
  <c r="M9" i="6"/>
  <c r="M10" i="6"/>
  <c r="M11" i="6"/>
  <c r="M12" i="6"/>
  <c r="K12" i="6"/>
  <c r="K11" i="6"/>
  <c r="K10" i="6"/>
  <c r="K9" i="6"/>
  <c r="K8" i="6"/>
  <c r="K7" i="6"/>
  <c r="K6" i="6"/>
  <c r="K5" i="6"/>
  <c r="K3" i="6"/>
  <c r="K2" i="6"/>
  <c r="L3" i="6"/>
  <c r="L4" i="6"/>
  <c r="L5" i="6"/>
  <c r="L6" i="6"/>
  <c r="L7" i="6"/>
  <c r="L8" i="6"/>
  <c r="L9" i="6"/>
  <c r="L10" i="6"/>
  <c r="L11" i="6"/>
  <c r="L12" i="6"/>
  <c r="L2" i="6"/>
  <c r="H3" i="6"/>
  <c r="H4" i="6"/>
  <c r="H5" i="6"/>
  <c r="H6" i="6"/>
  <c r="H7" i="6"/>
  <c r="H8" i="6"/>
  <c r="H9" i="6"/>
  <c r="H10" i="6"/>
  <c r="H11" i="6"/>
  <c r="H12" i="6"/>
  <c r="H2" i="6"/>
  <c r="G3" i="6"/>
  <c r="G4" i="6"/>
  <c r="G5" i="6"/>
  <c r="G6" i="6"/>
  <c r="G7" i="6"/>
  <c r="G8" i="6"/>
  <c r="G9" i="6"/>
  <c r="G10" i="6"/>
  <c r="G11" i="6"/>
  <c r="G12" i="6"/>
  <c r="G2" i="6"/>
  <c r="F3" i="6"/>
  <c r="F4" i="6"/>
  <c r="F5" i="6"/>
  <c r="F6" i="6"/>
  <c r="F7" i="6"/>
  <c r="F8" i="6"/>
  <c r="F9" i="6"/>
  <c r="F10" i="6"/>
  <c r="F11" i="6"/>
  <c r="F12" i="6"/>
  <c r="F2" i="6"/>
  <c r="J48" i="3"/>
  <c r="J49" i="3"/>
  <c r="J50" i="3"/>
  <c r="J51" i="3"/>
  <c r="J52" i="3"/>
  <c r="J53" i="3"/>
  <c r="I48" i="3"/>
  <c r="I49" i="3"/>
  <c r="I50" i="3"/>
  <c r="I51" i="3"/>
  <c r="I52" i="3"/>
  <c r="I53" i="3"/>
  <c r="J37" i="3"/>
  <c r="J38" i="3"/>
  <c r="J39" i="3"/>
  <c r="J40" i="3"/>
  <c r="J41" i="3"/>
  <c r="J42" i="3"/>
  <c r="I37" i="3"/>
  <c r="I38" i="3"/>
  <c r="I39" i="3"/>
  <c r="I40" i="3"/>
  <c r="I41" i="3"/>
  <c r="I42" i="3"/>
  <c r="I19" i="3"/>
  <c r="I20" i="3"/>
  <c r="I21" i="3"/>
  <c r="I22" i="3"/>
  <c r="J19" i="3"/>
  <c r="J20" i="3"/>
  <c r="J21" i="3"/>
  <c r="J22" i="3"/>
  <c r="J28" i="3"/>
  <c r="J29" i="3"/>
  <c r="J30" i="3"/>
  <c r="J31" i="3"/>
  <c r="I28" i="3"/>
  <c r="I29" i="3"/>
  <c r="I30" i="3"/>
  <c r="I31" i="3"/>
  <c r="I27" i="3"/>
  <c r="K31" i="3"/>
  <c r="L48" i="3"/>
  <c r="L49" i="3"/>
  <c r="L50" i="3"/>
  <c r="L51" i="3"/>
  <c r="L52" i="3"/>
  <c r="L53" i="3"/>
  <c r="L47" i="3"/>
  <c r="K48" i="3"/>
  <c r="K49" i="3"/>
  <c r="K50" i="3"/>
  <c r="K51" i="3"/>
  <c r="K52" i="3"/>
  <c r="K53" i="3"/>
  <c r="K47" i="3"/>
  <c r="L37" i="3"/>
  <c r="L38" i="3"/>
  <c r="L39" i="3"/>
  <c r="L41" i="3"/>
  <c r="L42" i="3"/>
  <c r="L36" i="3"/>
  <c r="K37" i="3"/>
  <c r="K38" i="3"/>
  <c r="K39" i="3"/>
  <c r="K41" i="3"/>
  <c r="K42" i="3"/>
  <c r="K36" i="3"/>
  <c r="L28" i="3"/>
  <c r="L29" i="3"/>
  <c r="L30" i="3"/>
  <c r="L31" i="3"/>
  <c r="L27" i="3"/>
  <c r="K28" i="3"/>
  <c r="K29" i="3"/>
  <c r="K27" i="3"/>
  <c r="L19" i="3"/>
  <c r="L20" i="3"/>
  <c r="L21" i="3"/>
  <c r="L22" i="3"/>
  <c r="L18" i="3"/>
  <c r="K19" i="3"/>
  <c r="K20" i="3"/>
  <c r="K22" i="3"/>
  <c r="K18" i="3"/>
  <c r="H11" i="4"/>
  <c r="H10" i="4"/>
  <c r="H9" i="4"/>
  <c r="H8" i="4"/>
  <c r="H7" i="4"/>
  <c r="H6" i="4"/>
  <c r="L6" i="3"/>
  <c r="K13" i="3"/>
  <c r="K12" i="3"/>
  <c r="K7" i="3"/>
  <c r="K6" i="3"/>
  <c r="J47" i="3"/>
  <c r="J36" i="3"/>
  <c r="J27" i="3"/>
  <c r="J18" i="3"/>
  <c r="J7" i="3"/>
  <c r="J6" i="3"/>
  <c r="I36" i="3"/>
  <c r="I47" i="3"/>
  <c r="I18" i="3"/>
  <c r="I13" i="3"/>
  <c r="I12" i="3"/>
  <c r="I7" i="3"/>
  <c r="I6" i="3"/>
  <c r="F53" i="3"/>
  <c r="F42" i="3"/>
  <c r="F41" i="3"/>
  <c r="F37" i="3"/>
  <c r="F28" i="3"/>
  <c r="F31" i="3"/>
  <c r="F29" i="3"/>
  <c r="F19" i="3"/>
  <c r="F20" i="3"/>
  <c r="F22" i="3"/>
  <c r="F12" i="3"/>
  <c r="H53" i="3"/>
  <c r="H42" i="3"/>
  <c r="H31" i="3"/>
</calcChain>
</file>

<file path=xl/sharedStrings.xml><?xml version="1.0" encoding="utf-8"?>
<sst xmlns="http://schemas.openxmlformats.org/spreadsheetml/2006/main" count="190" uniqueCount="107">
  <si>
    <t>ES</t>
  </si>
  <si>
    <t>ID</t>
  </si>
  <si>
    <t>EF</t>
  </si>
  <si>
    <t>LS</t>
  </si>
  <si>
    <t>LF</t>
  </si>
  <si>
    <t>DUR</t>
  </si>
  <si>
    <t>Schedule Information</t>
  </si>
  <si>
    <t>Activity / Work Package</t>
  </si>
  <si>
    <t>Duration</t>
  </si>
  <si>
    <t>Earliest Start</t>
  </si>
  <si>
    <t>Latest Finish</t>
  </si>
  <si>
    <t>Slack</t>
  </si>
  <si>
    <t>Cummulative PV by period</t>
  </si>
  <si>
    <t>Total PV by period</t>
  </si>
  <si>
    <t>Planned Value up to the end of the Time period below</t>
  </si>
  <si>
    <t>Task</t>
  </si>
  <si>
    <t>Cumulative totals</t>
  </si>
  <si>
    <t>% Complete</t>
  </si>
  <si>
    <t>EV</t>
  </si>
  <si>
    <t>AC</t>
  </si>
  <si>
    <t>PV</t>
  </si>
  <si>
    <t>CV</t>
  </si>
  <si>
    <t>SV</t>
  </si>
  <si>
    <t>Status Report: Ending Period 2</t>
  </si>
  <si>
    <t>Status Report: Ending Period 4</t>
  </si>
  <si>
    <t>Status Report: Ending Period 6</t>
  </si>
  <si>
    <t>Period</t>
  </si>
  <si>
    <t>SPI</t>
  </si>
  <si>
    <t>CPI</t>
  </si>
  <si>
    <t>PCIB</t>
  </si>
  <si>
    <t xml:space="preserve"> </t>
  </si>
  <si>
    <t>Baseline PV ($00)</t>
  </si>
  <si>
    <t>Total Planned Value  ($00)</t>
  </si>
  <si>
    <t>Status Report: Ending Period 8</t>
  </si>
  <si>
    <t>Status Report: Ending Period 10</t>
  </si>
  <si>
    <t>Status Report: Ending Period 12</t>
  </si>
  <si>
    <t>SPI = EV/PV</t>
  </si>
  <si>
    <t>CPI = EV/AC</t>
  </si>
  <si>
    <t>PCIB = EV/BAC</t>
  </si>
  <si>
    <t>($00) PV</t>
  </si>
  <si>
    <t>Activity</t>
  </si>
  <si>
    <t>Preceding activity</t>
  </si>
  <si>
    <t>Best A</t>
  </si>
  <si>
    <t>Likely M</t>
  </si>
  <si>
    <t>Worst B</t>
  </si>
  <si>
    <t>Time est (days)</t>
  </si>
  <si>
    <t>a. Rough in walls</t>
  </si>
  <si>
    <t>b. Build the bar</t>
  </si>
  <si>
    <t>c. run HVAC</t>
  </si>
  <si>
    <t>d. rough in electrical</t>
  </si>
  <si>
    <t>e. complete flooring</t>
  </si>
  <si>
    <t>f. get licenses</t>
  </si>
  <si>
    <t>g. install fire alarm</t>
  </si>
  <si>
    <t>h. deliver kitchen equip</t>
  </si>
  <si>
    <t>i. exposed ceiling reviews</t>
  </si>
  <si>
    <t>j. build stage</t>
  </si>
  <si>
    <t>k. sound system</t>
  </si>
  <si>
    <t>-</t>
  </si>
  <si>
    <t>a</t>
  </si>
  <si>
    <t>b,c</t>
  </si>
  <si>
    <t>e</t>
  </si>
  <si>
    <t>c,d,e</t>
  </si>
  <si>
    <t>e,f</t>
  </si>
  <si>
    <t>c,g</t>
  </si>
  <si>
    <t>g,h</t>
  </si>
  <si>
    <t>j,i</t>
  </si>
  <si>
    <t>St.Dev</t>
  </si>
  <si>
    <t>Variance</t>
  </si>
  <si>
    <t>Rough in walls</t>
  </si>
  <si>
    <t>b</t>
  </si>
  <si>
    <t>Build the bar</t>
  </si>
  <si>
    <t>Flooring</t>
  </si>
  <si>
    <t>c</t>
  </si>
  <si>
    <t>run HVAC</t>
  </si>
  <si>
    <t>d</t>
  </si>
  <si>
    <t>Rough in Electrical</t>
  </si>
  <si>
    <t>g</t>
  </si>
  <si>
    <t>Install fire alarm</t>
  </si>
  <si>
    <t>h</t>
  </si>
  <si>
    <t>Deliver kitchen equip</t>
  </si>
  <si>
    <t>f</t>
  </si>
  <si>
    <t>Get licenses</t>
  </si>
  <si>
    <t>i</t>
  </si>
  <si>
    <t>Exposed ceiling reviews</t>
  </si>
  <si>
    <t>k</t>
  </si>
  <si>
    <t>j</t>
  </si>
  <si>
    <t>Build stage</t>
  </si>
  <si>
    <t>Sound system</t>
  </si>
  <si>
    <t>Answers</t>
  </si>
  <si>
    <t>element in the network diagram is c which has the largest non zero amount of slack (4)</t>
  </si>
  <si>
    <t>Z-Score</t>
  </si>
  <si>
    <r>
      <t>thr project on time assuming T</t>
    </r>
    <r>
      <rPr>
        <sz val="8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is the predicted project duration.</t>
    </r>
  </si>
  <si>
    <r>
      <rPr>
        <b/>
        <sz val="11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 All redundant links are shown with a red 'X' through then. They are left in to show the initial path.</t>
    </r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</si>
  <si>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Critical path identified with red arrows.</t>
    </r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</si>
  <si>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Slack is calculated in the network diagram</t>
    </r>
  </si>
  <si>
    <r>
      <rPr>
        <b/>
        <sz val="11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 The most sensitive elements in the network diagram are activity b, d, g, I which all the smallest non zero amount of slack (2) and the least sensitive </t>
    </r>
  </si>
  <si>
    <r>
      <rPr>
        <b/>
        <sz val="11"/>
        <color theme="1"/>
        <rFont val="Calibri"/>
        <family val="2"/>
        <scheme val="minor"/>
      </rPr>
      <t>E.</t>
    </r>
    <r>
      <rPr>
        <sz val="11"/>
        <color theme="1"/>
        <rFont val="Calibri"/>
        <family val="2"/>
        <scheme val="minor"/>
      </rPr>
      <t xml:space="preserve"> The predicted project duriation for the critical path is T</t>
    </r>
    <r>
      <rPr>
        <sz val="8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= 81</t>
    </r>
  </si>
  <si>
    <r>
      <rPr>
        <b/>
        <sz val="11"/>
        <color theme="1"/>
        <rFont val="Calibri"/>
        <family val="2"/>
        <scheme val="minor"/>
      </rPr>
      <t>F.</t>
    </r>
    <r>
      <rPr>
        <sz val="11"/>
        <color theme="1"/>
        <rFont val="Calibri"/>
        <family val="2"/>
        <scheme val="minor"/>
      </rPr>
      <t xml:space="preserve"> The Z score for this project given T</t>
    </r>
    <r>
      <rPr>
        <sz val="8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and T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is 0.323 which when converted to the probability of arounf 0.626 or 62.6% chance of finishing</t>
    </r>
  </si>
  <si>
    <t>Based on the data provided, and the calculations for CPI and SPI that can be derived from it,</t>
  </si>
  <si>
    <t>this project is running late and is over budget. Cost Performance Index (CPI) which is the ratio</t>
  </si>
  <si>
    <t xml:space="preserve">of the value earned at period 12 and the costs incurred to this point, is below 1 which indicates </t>
  </si>
  <si>
    <t xml:space="preserve">that at this period of time, the project's earned value is less than its actual costs meaning that </t>
  </si>
  <si>
    <t>the project is running over budget. Schedule Performance Index (SPI) which is the ratio of the</t>
  </si>
  <si>
    <t xml:space="preserve">value earned at period 12 and the value planned to this point, is below 1 indicating that at this </t>
  </si>
  <si>
    <t xml:space="preserve">period of time, the project’s earned value is less than its predicted value meaning that the </t>
  </si>
  <si>
    <t>project is running behind schedule (late).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</si>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</sst>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1" xfId="0" applyFont="1" applyBorder="1"/>
    <xf numFmtId="0" fontId="0" fillId="6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164" fontId="0" fillId="0" borderId="0" xfId="0" quotePrefix="1" applyNumberFormat="1"/>
    <xf numFmtId="165" fontId="0" fillId="0" borderId="1" xfId="0" applyNumberFormat="1" applyBorder="1" applyAlignment="1">
      <alignment horizontal="center" vertical="center"/>
    </xf>
    <xf numFmtId="0" fontId="0" fillId="0" borderId="0" xfId="0" applyAlignment="1"/>
    <xf numFmtId="0" fontId="0" fillId="0" borderId="23" xfId="0" applyFill="1" applyBorder="1" applyAlignment="1">
      <alignment horizontal="center"/>
    </xf>
    <xf numFmtId="0" fontId="0" fillId="7" borderId="0" xfId="0" applyFill="1"/>
    <xf numFmtId="1" fontId="0" fillId="7" borderId="0" xfId="0" applyNumberFormat="1" applyFill="1"/>
    <xf numFmtId="0" fontId="0" fillId="8" borderId="0" xfId="0" applyFill="1"/>
    <xf numFmtId="0" fontId="1" fillId="9" borderId="0" xfId="0" applyFont="1" applyFill="1"/>
    <xf numFmtId="0" fontId="0" fillId="10" borderId="0" xfId="0" applyFill="1"/>
    <xf numFmtId="0" fontId="0" fillId="11" borderId="0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1" fontId="0" fillId="8" borderId="24" xfId="0" applyNumberFormat="1" applyFill="1" applyBorder="1" applyAlignment="1">
      <alignment horizontal="center"/>
    </xf>
    <xf numFmtId="2" fontId="0" fillId="8" borderId="24" xfId="0" applyNumberFormat="1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1" fontId="0" fillId="8" borderId="25" xfId="0" applyNumberFormat="1" applyFill="1" applyBorder="1" applyAlignment="1">
      <alignment horizontal="center"/>
    </xf>
    <xf numFmtId="2" fontId="0" fillId="8" borderId="25" xfId="0" applyNumberFormat="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1" fontId="0" fillId="8" borderId="26" xfId="0" applyNumberFormat="1" applyFill="1" applyBorder="1" applyAlignment="1">
      <alignment horizontal="center"/>
    </xf>
    <xf numFmtId="2" fontId="0" fillId="8" borderId="26" xfId="0" applyNumberForma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4" borderId="9" xfId="0" applyFont="1" applyFill="1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5" borderId="20" xfId="0" applyFill="1" applyBorder="1" applyAlignment="1"/>
    <xf numFmtId="0" fontId="0" fillId="5" borderId="21" xfId="0" applyFill="1" applyBorder="1" applyAlignment="1"/>
    <xf numFmtId="0" fontId="0" fillId="0" borderId="21" xfId="0" applyBorder="1" applyAlignment="1"/>
    <xf numFmtId="0" fontId="0" fillId="0" borderId="1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Graph</a:t>
            </a:r>
          </a:p>
        </c:rich>
      </c:tx>
      <c:layout>
        <c:manualLayout>
          <c:xMode val="edge"/>
          <c:yMode val="edge"/>
          <c:x val="0.412270778652668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summary graph'!$C$3</c:f>
              <c:strCache>
                <c:ptCount val="1"/>
                <c:pt idx="0">
                  <c:v>($00) 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'Q1 summary graph'!$D$2:$N$2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'Q1 summary graph'!$D$3:$N$3</c:f>
              <c:numCache>
                <c:formatCode>General</c:formatCode>
                <c:ptCount val="11"/>
                <c:pt idx="0">
                  <c:v>4</c:v>
                </c:pt>
                <c:pt idx="1">
                  <c:v>8</c:v>
                </c:pt>
                <c:pt idx="2">
                  <c:v>38</c:v>
                </c:pt>
                <c:pt idx="3">
                  <c:v>73</c:v>
                </c:pt>
                <c:pt idx="4">
                  <c:v>108</c:v>
                </c:pt>
                <c:pt idx="5">
                  <c:v>158</c:v>
                </c:pt>
                <c:pt idx="6">
                  <c:v>188</c:v>
                </c:pt>
                <c:pt idx="7">
                  <c:v>208</c:v>
                </c:pt>
                <c:pt idx="8">
                  <c:v>218</c:v>
                </c:pt>
                <c:pt idx="9">
                  <c:v>238</c:v>
                </c:pt>
                <c:pt idx="10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4-466F-AD56-FDE7CCFCC5C5}"/>
            </c:ext>
          </c:extLst>
        </c:ser>
        <c:ser>
          <c:idx val="1"/>
          <c:order val="1"/>
          <c:tx>
            <c:strRef>
              <c:f>'Q1 summary graph'!$C$4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'Q1 summary graph'!$D$2:$N$2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'Q1 summary graph'!$D$4:$N$4</c:f>
              <c:numCache>
                <c:formatCode>General</c:formatCode>
                <c:ptCount val="11"/>
                <c:pt idx="0">
                  <c:v>4</c:v>
                </c:pt>
                <c:pt idx="1">
                  <c:v>10</c:v>
                </c:pt>
                <c:pt idx="2">
                  <c:v>37</c:v>
                </c:pt>
                <c:pt idx="3">
                  <c:v>55</c:v>
                </c:pt>
                <c:pt idx="4">
                  <c:v>124</c:v>
                </c:pt>
                <c:pt idx="5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90-476E-B654-090AD000DAB7}"/>
            </c:ext>
          </c:extLst>
        </c:ser>
        <c:ser>
          <c:idx val="2"/>
          <c:order val="2"/>
          <c:tx>
            <c:strRef>
              <c:f>'Q1 summary graph'!$C$5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'Q1 summary graph'!$D$2:$N$2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'Q1 summary graph'!$D$5:$N$5</c:f>
              <c:numCache>
                <c:formatCode>General</c:formatCode>
                <c:ptCount val="11"/>
                <c:pt idx="0">
                  <c:v>4</c:v>
                </c:pt>
                <c:pt idx="1">
                  <c:v>8</c:v>
                </c:pt>
                <c:pt idx="2">
                  <c:v>13.83</c:v>
                </c:pt>
                <c:pt idx="3">
                  <c:v>29</c:v>
                </c:pt>
                <c:pt idx="4">
                  <c:v>72</c:v>
                </c:pt>
                <c:pt idx="5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90-476E-B654-090AD000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3903656"/>
        <c:axId val="983897752"/>
      </c:barChart>
      <c:lineChart>
        <c:grouping val="standard"/>
        <c:varyColors val="0"/>
        <c:ser>
          <c:idx val="3"/>
          <c:order val="3"/>
          <c:tx>
            <c:strRef>
              <c:f>'Q1 summary graph'!$C$6</c:f>
              <c:strCache>
                <c:ptCount val="1"/>
                <c:pt idx="0">
                  <c:v>SPI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'Q1 summary graph'!$D$2:$N$2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'Q1 summary graph'!$D$6:$N$6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0.36399999999999999</c:v>
                </c:pt>
                <c:pt idx="3">
                  <c:v>0.39700000000000002</c:v>
                </c:pt>
                <c:pt idx="4">
                  <c:v>0.66700000000000004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90-476E-B654-090AD000DAB7}"/>
            </c:ext>
          </c:extLst>
        </c:ser>
        <c:ser>
          <c:idx val="4"/>
          <c:order val="4"/>
          <c:tx>
            <c:strRef>
              <c:f>'Q1 summary graph'!$C$7</c:f>
              <c:strCache>
                <c:ptCount val="1"/>
                <c:pt idx="0">
                  <c:v>CPI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'Q1 summary graph'!$D$2:$N$2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'Q1 summary graph'!$D$7:$N$7</c:f>
              <c:numCache>
                <c:formatCode>General</c:formatCode>
                <c:ptCount val="11"/>
                <c:pt idx="0">
                  <c:v>1</c:v>
                </c:pt>
                <c:pt idx="1">
                  <c:v>0.8</c:v>
                </c:pt>
                <c:pt idx="2">
                  <c:v>0.374</c:v>
                </c:pt>
                <c:pt idx="3">
                  <c:v>0.52700000000000002</c:v>
                </c:pt>
                <c:pt idx="4">
                  <c:v>0.58099999999999996</c:v>
                </c:pt>
                <c:pt idx="5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90-476E-B654-090AD000DAB7}"/>
            </c:ext>
          </c:extLst>
        </c:ser>
        <c:ser>
          <c:idx val="5"/>
          <c:order val="5"/>
          <c:tx>
            <c:strRef>
              <c:f>'Q1 summary graph'!$C$8</c:f>
              <c:strCache>
                <c:ptCount val="1"/>
                <c:pt idx="0">
                  <c:v>PCIB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'Q1 summary graph'!$D$2:$N$2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cat>
          <c:val>
            <c:numRef>
              <c:f>'Q1 summary graph'!$D$8:$N$8</c:f>
              <c:numCache>
                <c:formatCode>General</c:formatCode>
                <c:ptCount val="11"/>
                <c:pt idx="0">
                  <c:v>0.03</c:v>
                </c:pt>
                <c:pt idx="1">
                  <c:v>0.05</c:v>
                </c:pt>
                <c:pt idx="2">
                  <c:v>0.09</c:v>
                </c:pt>
                <c:pt idx="3">
                  <c:v>0.184</c:v>
                </c:pt>
                <c:pt idx="4">
                  <c:v>0.45600000000000002</c:v>
                </c:pt>
                <c:pt idx="5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90-476E-B654-090AD000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287440"/>
        <c:axId val="1703290768"/>
      </c:lineChart>
      <c:catAx>
        <c:axId val="98390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Project</a:t>
                </a:r>
                <a:r>
                  <a:rPr lang="en-CA" baseline="0"/>
                  <a:t> Period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97752"/>
        <c:crosses val="autoZero"/>
        <c:auto val="1"/>
        <c:lblAlgn val="ctr"/>
        <c:lblOffset val="100"/>
        <c:noMultiLvlLbl val="1"/>
      </c:catAx>
      <c:valAx>
        <c:axId val="98389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903656"/>
        <c:crosses val="autoZero"/>
        <c:crossBetween val="between"/>
      </c:valAx>
      <c:valAx>
        <c:axId val="17032907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SPI, CPI, and PCIB Per PEriod</a:t>
                </a:r>
                <a:r>
                  <a:rPr lang="en-CA" baseline="0"/>
                  <a:t> 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87440"/>
        <c:crosses val="max"/>
        <c:crossBetween val="between"/>
      </c:valAx>
      <c:catAx>
        <c:axId val="1703287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0329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4</xdr:row>
      <xdr:rowOff>114300</xdr:rowOff>
    </xdr:from>
    <xdr:to>
      <xdr:col>6</xdr:col>
      <xdr:colOff>552450</xdr:colOff>
      <xdr:row>7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714750" y="885825"/>
          <a:ext cx="495300" cy="619125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9</xdr:row>
      <xdr:rowOff>0</xdr:rowOff>
    </xdr:from>
    <xdr:to>
      <xdr:col>6</xdr:col>
      <xdr:colOff>552450</xdr:colOff>
      <xdr:row>12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714750" y="1743075"/>
          <a:ext cx="495300" cy="66675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5</xdr:row>
      <xdr:rowOff>47625</xdr:rowOff>
    </xdr:from>
    <xdr:to>
      <xdr:col>14</xdr:col>
      <xdr:colOff>590550</xdr:colOff>
      <xdr:row>8</xdr:row>
      <xdr:rowOff>138112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148763" y="957263"/>
          <a:ext cx="509587" cy="642937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8</xdr:row>
      <xdr:rowOff>109537</xdr:rowOff>
    </xdr:from>
    <xdr:to>
      <xdr:col>18</xdr:col>
      <xdr:colOff>600075</xdr:colOff>
      <xdr:row>12</xdr:row>
      <xdr:rowOff>95252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9077325" y="1571625"/>
          <a:ext cx="3181350" cy="71914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8</xdr:row>
      <xdr:rowOff>104775</xdr:rowOff>
    </xdr:from>
    <xdr:to>
      <xdr:col>10</xdr:col>
      <xdr:colOff>619125</xdr:colOff>
      <xdr:row>8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6505575" y="1566863"/>
          <a:ext cx="590550" cy="9525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12</xdr:row>
      <xdr:rowOff>104776</xdr:rowOff>
    </xdr:from>
    <xdr:to>
      <xdr:col>10</xdr:col>
      <xdr:colOff>600075</xdr:colOff>
      <xdr:row>12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6153150" y="2438401"/>
          <a:ext cx="542925" cy="9524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4</xdr:row>
      <xdr:rowOff>104776</xdr:rowOff>
    </xdr:from>
    <xdr:to>
      <xdr:col>14</xdr:col>
      <xdr:colOff>585788</xdr:colOff>
      <xdr:row>4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6505575" y="838201"/>
          <a:ext cx="3148013" cy="9524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8</xdr:row>
      <xdr:rowOff>95250</xdr:rowOff>
    </xdr:from>
    <xdr:to>
      <xdr:col>6</xdr:col>
      <xdr:colOff>571500</xdr:colOff>
      <xdr:row>8</xdr:row>
      <xdr:rowOff>95251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3714750" y="1647825"/>
          <a:ext cx="514350" cy="1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47625</xdr:colOff>
      <xdr:row>4</xdr:row>
      <xdr:rowOff>85726</xdr:rowOff>
    </xdr:from>
    <xdr:to>
      <xdr:col>18</xdr:col>
      <xdr:colOff>576263</xdr:colOff>
      <xdr:row>8</xdr:row>
      <xdr:rowOff>38100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7DBA09C-6B21-4BE4-A6E9-93C71E07F3F2}"/>
            </a:ext>
          </a:extLst>
        </xdr:cNvPr>
        <xdr:cNvCxnSpPr/>
      </xdr:nvCxnSpPr>
      <xdr:spPr>
        <a:xfrm>
          <a:off x="11706225" y="814389"/>
          <a:ext cx="528638" cy="685799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70642</xdr:colOff>
      <xdr:row>9</xdr:row>
      <xdr:rowOff>29368</xdr:rowOff>
    </xdr:from>
    <xdr:to>
      <xdr:col>14</xdr:col>
      <xdr:colOff>84137</xdr:colOff>
      <xdr:row>30</xdr:row>
      <xdr:rowOff>155574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21D60-5E3E-479C-9888-55D221D99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30</xdr:row>
      <xdr:rowOff>25400</xdr:rowOff>
    </xdr:from>
    <xdr:to>
      <xdr:col>4</xdr:col>
      <xdr:colOff>514350</xdr:colOff>
      <xdr:row>33</xdr:row>
      <xdr:rowOff>53975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16B6B676-0054-44FA-934E-19DF0C57E182}"/>
            </a:ext>
          </a:extLst>
        </xdr:cNvPr>
        <xdr:cNvCxnSpPr/>
      </xdr:nvCxnSpPr>
      <xdr:spPr>
        <a:xfrm flipV="1">
          <a:off x="24060150" y="3778250"/>
          <a:ext cx="495300" cy="593725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</xdr:colOff>
      <xdr:row>34</xdr:row>
      <xdr:rowOff>82550</xdr:rowOff>
    </xdr:from>
    <xdr:to>
      <xdr:col>12</xdr:col>
      <xdr:colOff>546100</xdr:colOff>
      <xdr:row>34</xdr:row>
      <xdr:rowOff>114300</xdr:rowOff>
    </xdr:to>
    <xdr:cxnSp macro="">
      <xdr:nvCxnSpPr>
        <xdr:cNvPr id="154" name="Straight Arrow Connector 153">
          <a:extLst>
            <a:ext uri="{FF2B5EF4-FFF2-40B4-BE49-F238E27FC236}">
              <a16:creationId xmlns:a16="http://schemas.microsoft.com/office/drawing/2014/main" id="{A61F813A-DCB4-4B43-8D1F-45391B05DDC3}"/>
            </a:ext>
          </a:extLst>
        </xdr:cNvPr>
        <xdr:cNvCxnSpPr/>
      </xdr:nvCxnSpPr>
      <xdr:spPr>
        <a:xfrm flipV="1">
          <a:off x="26508075" y="4584700"/>
          <a:ext cx="2955925" cy="31750"/>
        </a:xfrm>
        <a:prstGeom prst="straightConnector1">
          <a:avLst/>
        </a:prstGeom>
        <a:ln w="31750">
          <a:solidFill>
            <a:schemeClr val="tx1">
              <a:alpha val="2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127138</xdr:colOff>
      <xdr:row>18</xdr:row>
      <xdr:rowOff>6350</xdr:rowOff>
    </xdr:from>
    <xdr:to>
      <xdr:col>13</xdr:col>
      <xdr:colOff>6350</xdr:colOff>
      <xdr:row>26</xdr:row>
      <xdr:rowOff>179831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9BE51A8C-4FAE-4E04-AD44-34FF9E241117}"/>
            </a:ext>
          </a:extLst>
        </xdr:cNvPr>
        <xdr:cNvCxnSpPr>
          <a:stCxn id="161" idx="0"/>
        </xdr:cNvCxnSpPr>
      </xdr:nvCxnSpPr>
      <xdr:spPr>
        <a:xfrm flipV="1">
          <a:off x="29045038" y="1511300"/>
          <a:ext cx="488812" cy="1678431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34</xdr:row>
      <xdr:rowOff>95250</xdr:rowOff>
    </xdr:from>
    <xdr:to>
      <xdr:col>4</xdr:col>
      <xdr:colOff>571500</xdr:colOff>
      <xdr:row>34</xdr:row>
      <xdr:rowOff>95251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260B3009-6893-4BFF-AC24-C1A5692FEC0E}"/>
            </a:ext>
          </a:extLst>
        </xdr:cNvPr>
        <xdr:cNvCxnSpPr/>
      </xdr:nvCxnSpPr>
      <xdr:spPr>
        <a:xfrm>
          <a:off x="24098250" y="4597400"/>
          <a:ext cx="514350" cy="1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21</xdr:row>
      <xdr:rowOff>88900</xdr:rowOff>
    </xdr:from>
    <xdr:to>
      <xdr:col>8</xdr:col>
      <xdr:colOff>552450</xdr:colOff>
      <xdr:row>23</xdr:row>
      <xdr:rowOff>0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59E7AFAC-F5D7-4408-803A-7C8F714C9151}"/>
            </a:ext>
          </a:extLst>
        </xdr:cNvPr>
        <xdr:cNvCxnSpPr/>
      </xdr:nvCxnSpPr>
      <xdr:spPr>
        <a:xfrm>
          <a:off x="24066500" y="2152650"/>
          <a:ext cx="2965450" cy="29210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16</xdr:row>
      <xdr:rowOff>146050</xdr:rowOff>
    </xdr:from>
    <xdr:to>
      <xdr:col>12</xdr:col>
      <xdr:colOff>577850</xdr:colOff>
      <xdr:row>20</xdr:row>
      <xdr:rowOff>120650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227352AC-88EE-4C1C-9BD7-7109C0B7B727}"/>
            </a:ext>
          </a:extLst>
        </xdr:cNvPr>
        <xdr:cNvCxnSpPr/>
      </xdr:nvCxnSpPr>
      <xdr:spPr>
        <a:xfrm flipV="1">
          <a:off x="24098250" y="1276350"/>
          <a:ext cx="5397500" cy="723900"/>
        </a:xfrm>
        <a:prstGeom prst="straightConnector1">
          <a:avLst/>
        </a:prstGeom>
        <a:ln w="31750">
          <a:solidFill>
            <a:schemeClr val="tx1">
              <a:alpha val="2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17</xdr:row>
      <xdr:rowOff>44450</xdr:rowOff>
    </xdr:from>
    <xdr:to>
      <xdr:col>12</xdr:col>
      <xdr:colOff>558800</xdr:colOff>
      <xdr:row>23</xdr:row>
      <xdr:rowOff>127000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2A169471-2184-41D2-9252-018982E8B4E0}"/>
            </a:ext>
          </a:extLst>
        </xdr:cNvPr>
        <xdr:cNvCxnSpPr/>
      </xdr:nvCxnSpPr>
      <xdr:spPr>
        <a:xfrm flipV="1">
          <a:off x="28936950" y="1358900"/>
          <a:ext cx="539750" cy="121285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23</xdr:row>
      <xdr:rowOff>152400</xdr:rowOff>
    </xdr:from>
    <xdr:to>
      <xdr:col>8</xdr:col>
      <xdr:colOff>558800</xdr:colOff>
      <xdr:row>29</xdr:row>
      <xdr:rowOff>149225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0B1FDFBD-42C3-4812-9084-612548461A1C}"/>
            </a:ext>
          </a:extLst>
        </xdr:cNvPr>
        <xdr:cNvCxnSpPr/>
      </xdr:nvCxnSpPr>
      <xdr:spPr>
        <a:xfrm flipV="1">
          <a:off x="26517600" y="2597150"/>
          <a:ext cx="520700" cy="1120775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1138851</xdr:colOff>
      <xdr:row>30</xdr:row>
      <xdr:rowOff>32229</xdr:rowOff>
    </xdr:from>
    <xdr:to>
      <xdr:col>12</xdr:col>
      <xdr:colOff>245690</xdr:colOff>
      <xdr:row>30</xdr:row>
      <xdr:rowOff>77948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2A845E09-1A6A-42A8-925D-CA62CC79FF7A}"/>
            </a:ext>
          </a:extLst>
        </xdr:cNvPr>
        <xdr:cNvSpPr/>
      </xdr:nvSpPr>
      <xdr:spPr>
        <a:xfrm rot="4097318">
          <a:off x="27799786" y="2466994"/>
          <a:ext cx="45719" cy="2681889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8</xdr:col>
      <xdr:colOff>38100</xdr:colOff>
      <xdr:row>35</xdr:row>
      <xdr:rowOff>95250</xdr:rowOff>
    </xdr:from>
    <xdr:to>
      <xdr:col>8</xdr:col>
      <xdr:colOff>654050</xdr:colOff>
      <xdr:row>39</xdr:row>
      <xdr:rowOff>50800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818D0EA-3620-4E37-A26D-C5968801C47A}"/>
            </a:ext>
          </a:extLst>
        </xdr:cNvPr>
        <xdr:cNvCxnSpPr/>
      </xdr:nvCxnSpPr>
      <xdr:spPr>
        <a:xfrm>
          <a:off x="26517600" y="4781550"/>
          <a:ext cx="571500" cy="70485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44450</xdr:colOff>
      <xdr:row>34</xdr:row>
      <xdr:rowOff>171450</xdr:rowOff>
    </xdr:from>
    <xdr:to>
      <xdr:col>12</xdr:col>
      <xdr:colOff>533400</xdr:colOff>
      <xdr:row>39</xdr:row>
      <xdr:rowOff>114300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B06508F2-AC7D-495E-A148-8A4845730B9F}"/>
            </a:ext>
          </a:extLst>
        </xdr:cNvPr>
        <xdr:cNvCxnSpPr/>
      </xdr:nvCxnSpPr>
      <xdr:spPr>
        <a:xfrm flipV="1">
          <a:off x="28962350" y="4673600"/>
          <a:ext cx="488950" cy="8763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50800</xdr:colOff>
      <xdr:row>14</xdr:row>
      <xdr:rowOff>101600</xdr:rowOff>
    </xdr:from>
    <xdr:to>
      <xdr:col>16</xdr:col>
      <xdr:colOff>565150</xdr:colOff>
      <xdr:row>16</xdr:row>
      <xdr:rowOff>114300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50D67AD9-DDB3-4770-B2CE-D36472EF9CC1}"/>
            </a:ext>
          </a:extLst>
        </xdr:cNvPr>
        <xdr:cNvCxnSpPr/>
      </xdr:nvCxnSpPr>
      <xdr:spPr>
        <a:xfrm flipV="1">
          <a:off x="31407100" y="850900"/>
          <a:ext cx="514350" cy="39370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598308</xdr:colOff>
      <xdr:row>14</xdr:row>
      <xdr:rowOff>0</xdr:rowOff>
    </xdr:from>
    <xdr:to>
      <xdr:col>16</xdr:col>
      <xdr:colOff>590550</xdr:colOff>
      <xdr:row>14</xdr:row>
      <xdr:rowOff>20838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CA4FBE49-CBE7-441D-9043-7FA2ECA37CFE}"/>
            </a:ext>
          </a:extLst>
        </xdr:cNvPr>
        <xdr:cNvCxnSpPr>
          <a:stCxn id="166" idx="0"/>
        </xdr:cNvCxnSpPr>
      </xdr:nvCxnSpPr>
      <xdr:spPr>
        <a:xfrm flipV="1">
          <a:off x="28906608" y="749300"/>
          <a:ext cx="3040242" cy="20838"/>
        </a:xfrm>
        <a:prstGeom prst="straightConnector1">
          <a:avLst/>
        </a:prstGeom>
        <a:ln w="31750">
          <a:solidFill>
            <a:schemeClr val="tx1">
              <a:alpha val="2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588258</xdr:colOff>
      <xdr:row>16</xdr:row>
      <xdr:rowOff>180577</xdr:rowOff>
    </xdr:from>
    <xdr:to>
      <xdr:col>12</xdr:col>
      <xdr:colOff>37106</xdr:colOff>
      <xdr:row>17</xdr:row>
      <xdr:rowOff>42146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3AC3EEE3-82D6-439A-9869-E2F8FD1A68A8}"/>
            </a:ext>
          </a:extLst>
        </xdr:cNvPr>
        <xdr:cNvSpPr/>
      </xdr:nvSpPr>
      <xdr:spPr>
        <a:xfrm rot="4811032">
          <a:off x="26464522" y="-1133887"/>
          <a:ext cx="45719" cy="4935248"/>
        </a:xfrm>
        <a:prstGeom prst="rect">
          <a:avLst/>
        </a:prstGeom>
        <a:solidFill>
          <a:schemeClr val="tx1">
            <a:alpha val="20000"/>
          </a:schemeClr>
        </a:solidFill>
        <a:ln>
          <a:solidFill>
            <a:schemeClr val="tx1">
              <a:alpha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20</xdr:col>
      <xdr:colOff>25400</xdr:colOff>
      <xdr:row>14</xdr:row>
      <xdr:rowOff>127000</xdr:rowOff>
    </xdr:from>
    <xdr:to>
      <xdr:col>24</xdr:col>
      <xdr:colOff>558800</xdr:colOff>
      <xdr:row>23</xdr:row>
      <xdr:rowOff>25400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4F59A68B-15F8-4263-8E77-5320FB7EA2D4}"/>
            </a:ext>
          </a:extLst>
        </xdr:cNvPr>
        <xdr:cNvCxnSpPr/>
      </xdr:nvCxnSpPr>
      <xdr:spPr>
        <a:xfrm>
          <a:off x="33820100" y="876300"/>
          <a:ext cx="2971800" cy="159385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38100</xdr:colOff>
      <xdr:row>23</xdr:row>
      <xdr:rowOff>133350</xdr:rowOff>
    </xdr:from>
    <xdr:to>
      <xdr:col>24</xdr:col>
      <xdr:colOff>539750</xdr:colOff>
      <xdr:row>27</xdr:row>
      <xdr:rowOff>107950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54844B58-FA17-4A09-B507-40424F71BFE8}"/>
            </a:ext>
          </a:extLst>
        </xdr:cNvPr>
        <xdr:cNvCxnSpPr/>
      </xdr:nvCxnSpPr>
      <xdr:spPr>
        <a:xfrm flipV="1">
          <a:off x="36271200" y="2578100"/>
          <a:ext cx="501650" cy="7239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69850</xdr:colOff>
      <xdr:row>27</xdr:row>
      <xdr:rowOff>127000</xdr:rowOff>
    </xdr:from>
    <xdr:to>
      <xdr:col>20</xdr:col>
      <xdr:colOff>571500</xdr:colOff>
      <xdr:row>34</xdr:row>
      <xdr:rowOff>114300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3B41AEF1-2CE8-438E-8E10-170B9D23A318}"/>
            </a:ext>
          </a:extLst>
        </xdr:cNvPr>
        <xdr:cNvCxnSpPr/>
      </xdr:nvCxnSpPr>
      <xdr:spPr>
        <a:xfrm flipV="1">
          <a:off x="31426150" y="3321050"/>
          <a:ext cx="2940050" cy="1295400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</xdr:colOff>
      <xdr:row>17</xdr:row>
      <xdr:rowOff>76200</xdr:rowOff>
    </xdr:from>
    <xdr:to>
      <xdr:col>20</xdr:col>
      <xdr:colOff>533400</xdr:colOff>
      <xdr:row>27</xdr:row>
      <xdr:rowOff>31750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4536E4F9-6363-4497-9374-18FF649F5B1E}"/>
            </a:ext>
          </a:extLst>
        </xdr:cNvPr>
        <xdr:cNvCxnSpPr/>
      </xdr:nvCxnSpPr>
      <xdr:spPr>
        <a:xfrm>
          <a:off x="31413450" y="1390650"/>
          <a:ext cx="2914650" cy="1835150"/>
        </a:xfrm>
        <a:prstGeom prst="straightConnector1">
          <a:avLst/>
        </a:prstGeom>
        <a:ln w="317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287609</xdr:colOff>
      <xdr:row>12</xdr:row>
      <xdr:rowOff>68693</xdr:rowOff>
    </xdr:from>
    <xdr:to>
      <xdr:col>12</xdr:col>
      <xdr:colOff>303873</xdr:colOff>
      <xdr:row>15</xdr:row>
      <xdr:rowOff>129407</xdr:rowOff>
    </xdr:to>
    <xdr:pic>
      <xdr:nvPicPr>
        <xdr:cNvPr id="173" name="Graphic 172" descr="Add outline">
          <a:extLst>
            <a:ext uri="{FF2B5EF4-FFF2-40B4-BE49-F238E27FC236}">
              <a16:creationId xmlns:a16="http://schemas.microsoft.com/office/drawing/2014/main" id="{F07AB8C6-DB3F-46D7-9396-C98E437D3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2852718">
          <a:off x="10384109" y="2297543"/>
          <a:ext cx="625864" cy="625864"/>
        </a:xfrm>
        <a:prstGeom prst="rect">
          <a:avLst/>
        </a:prstGeom>
      </xdr:spPr>
    </xdr:pic>
    <xdr:clientData/>
  </xdr:twoCellAnchor>
  <xdr:twoCellAnchor editAs="oneCell">
    <xdr:from>
      <xdr:col>10</xdr:col>
      <xdr:colOff>255858</xdr:colOff>
      <xdr:row>32</xdr:row>
      <xdr:rowOff>170294</xdr:rowOff>
    </xdr:from>
    <xdr:to>
      <xdr:col>10</xdr:col>
      <xdr:colOff>881722</xdr:colOff>
      <xdr:row>36</xdr:row>
      <xdr:rowOff>46858</xdr:rowOff>
    </xdr:to>
    <xdr:pic>
      <xdr:nvPicPr>
        <xdr:cNvPr id="175" name="Graphic 174" descr="Add outline">
          <a:extLst>
            <a:ext uri="{FF2B5EF4-FFF2-40B4-BE49-F238E27FC236}">
              <a16:creationId xmlns:a16="http://schemas.microsoft.com/office/drawing/2014/main" id="{D3ED7366-79D5-458B-8243-C6B50E64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2852718">
          <a:off x="9272858" y="6151994"/>
          <a:ext cx="625864" cy="625864"/>
        </a:xfrm>
        <a:prstGeom prst="rect">
          <a:avLst/>
        </a:prstGeom>
      </xdr:spPr>
    </xdr:pic>
    <xdr:clientData/>
  </xdr:twoCellAnchor>
  <xdr:twoCellAnchor editAs="oneCell">
    <xdr:from>
      <xdr:col>9</xdr:col>
      <xdr:colOff>65359</xdr:colOff>
      <xdr:row>16</xdr:row>
      <xdr:rowOff>87743</xdr:rowOff>
    </xdr:from>
    <xdr:to>
      <xdr:col>10</xdr:col>
      <xdr:colOff>56223</xdr:colOff>
      <xdr:row>19</xdr:row>
      <xdr:rowOff>154807</xdr:rowOff>
    </xdr:to>
    <xdr:pic>
      <xdr:nvPicPr>
        <xdr:cNvPr id="176" name="Graphic 175" descr="Add outline">
          <a:extLst>
            <a:ext uri="{FF2B5EF4-FFF2-40B4-BE49-F238E27FC236}">
              <a16:creationId xmlns:a16="http://schemas.microsoft.com/office/drawing/2014/main" id="{68C6FA74-D45F-4681-9580-BC7C834CB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2852718">
          <a:off x="8447359" y="3072243"/>
          <a:ext cx="625864" cy="625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V18"/>
  <sheetViews>
    <sheetView showGridLines="0" topLeftCell="E1" workbookViewId="0">
      <selection activeCell="S25" sqref="S25"/>
    </sheetView>
  </sheetViews>
  <sheetFormatPr defaultRowHeight="14.5" x14ac:dyDescent="0.35"/>
  <sheetData>
    <row r="3" spans="4:22" ht="15" thickBot="1" x14ac:dyDescent="0.4"/>
    <row r="4" spans="4:22" x14ac:dyDescent="0.35">
      <c r="H4" s="2">
        <v>4</v>
      </c>
      <c r="I4" s="3">
        <v>2</v>
      </c>
      <c r="J4" s="4">
        <v>12</v>
      </c>
      <c r="P4" s="2">
        <v>14</v>
      </c>
      <c r="Q4" s="3">
        <v>7</v>
      </c>
      <c r="R4" s="4">
        <v>18</v>
      </c>
    </row>
    <row r="5" spans="4:22" x14ac:dyDescent="0.35">
      <c r="H5" s="5">
        <v>2</v>
      </c>
      <c r="I5" s="6"/>
      <c r="J5" s="7">
        <v>2</v>
      </c>
      <c r="P5" s="5">
        <v>0</v>
      </c>
      <c r="Q5" s="6"/>
      <c r="R5" s="7">
        <v>0</v>
      </c>
    </row>
    <row r="6" spans="4:22" ht="15" thickBot="1" x14ac:dyDescent="0.4">
      <c r="H6" s="8">
        <v>6</v>
      </c>
      <c r="I6" s="9">
        <v>8</v>
      </c>
      <c r="J6" s="10">
        <v>14</v>
      </c>
      <c r="P6" s="8">
        <v>14</v>
      </c>
      <c r="Q6" s="9">
        <v>4</v>
      </c>
      <c r="R6" s="10">
        <v>18</v>
      </c>
    </row>
    <row r="7" spans="4:22" ht="15" thickBot="1" x14ac:dyDescent="0.4"/>
    <row r="8" spans="4:22" x14ac:dyDescent="0.35">
      <c r="D8" s="2">
        <v>0</v>
      </c>
      <c r="E8" s="3">
        <v>1</v>
      </c>
      <c r="F8" s="4">
        <v>4</v>
      </c>
      <c r="H8" s="2">
        <v>4</v>
      </c>
      <c r="I8" s="3">
        <v>3</v>
      </c>
      <c r="J8" s="4">
        <v>10</v>
      </c>
      <c r="L8" s="2">
        <v>10</v>
      </c>
      <c r="M8" s="3">
        <v>5</v>
      </c>
      <c r="N8" s="4">
        <v>14</v>
      </c>
      <c r="T8" s="2">
        <v>18</v>
      </c>
      <c r="U8" s="3">
        <v>8</v>
      </c>
      <c r="V8" s="4">
        <v>22</v>
      </c>
    </row>
    <row r="9" spans="4:22" x14ac:dyDescent="0.35">
      <c r="D9" s="5">
        <v>0</v>
      </c>
      <c r="E9" s="6"/>
      <c r="F9" s="7">
        <v>0</v>
      </c>
      <c r="H9" s="5">
        <v>0</v>
      </c>
      <c r="I9" s="6"/>
      <c r="J9" s="7">
        <v>0</v>
      </c>
      <c r="L9" s="5">
        <v>0</v>
      </c>
      <c r="M9" s="6"/>
      <c r="N9" s="7">
        <v>0</v>
      </c>
      <c r="T9" s="5">
        <v>0</v>
      </c>
      <c r="U9" s="6"/>
      <c r="V9" s="7">
        <v>0</v>
      </c>
    </row>
    <row r="10" spans="4:22" ht="15" thickBot="1" x14ac:dyDescent="0.4">
      <c r="D10" s="8">
        <v>0</v>
      </c>
      <c r="E10" s="9">
        <v>4</v>
      </c>
      <c r="F10" s="10">
        <v>4</v>
      </c>
      <c r="H10" s="8">
        <v>4</v>
      </c>
      <c r="I10" s="9">
        <v>6</v>
      </c>
      <c r="J10" s="10">
        <v>10</v>
      </c>
      <c r="L10" s="8">
        <v>10</v>
      </c>
      <c r="M10" s="9">
        <v>4</v>
      </c>
      <c r="N10" s="10">
        <v>14</v>
      </c>
      <c r="T10" s="8">
        <v>18</v>
      </c>
      <c r="U10" s="9">
        <v>4</v>
      </c>
      <c r="V10" s="10">
        <v>22</v>
      </c>
    </row>
    <row r="11" spans="4:22" ht="15" thickBot="1" x14ac:dyDescent="0.4"/>
    <row r="12" spans="4:22" x14ac:dyDescent="0.35">
      <c r="H12" s="2">
        <v>4</v>
      </c>
      <c r="I12" s="3">
        <v>4</v>
      </c>
      <c r="J12" s="4">
        <v>8</v>
      </c>
      <c r="L12" s="2">
        <v>8</v>
      </c>
      <c r="M12" s="3">
        <v>6</v>
      </c>
      <c r="N12" s="4">
        <v>16</v>
      </c>
    </row>
    <row r="13" spans="4:22" x14ac:dyDescent="0.35">
      <c r="H13" s="5">
        <v>2</v>
      </c>
      <c r="I13" s="6"/>
      <c r="J13" s="7">
        <v>2</v>
      </c>
      <c r="L13" s="5">
        <v>2</v>
      </c>
      <c r="M13" s="6"/>
      <c r="N13" s="7">
        <v>2</v>
      </c>
    </row>
    <row r="14" spans="4:22" ht="15" thickBot="1" x14ac:dyDescent="0.4">
      <c r="H14" s="8">
        <v>6</v>
      </c>
      <c r="I14" s="9">
        <v>4</v>
      </c>
      <c r="J14" s="10">
        <v>10</v>
      </c>
      <c r="L14" s="8">
        <v>10</v>
      </c>
      <c r="M14" s="9">
        <v>8</v>
      </c>
      <c r="N14" s="10">
        <v>18</v>
      </c>
    </row>
    <row r="15" spans="4:22" ht="15" thickBot="1" x14ac:dyDescent="0.4"/>
    <row r="16" spans="4:22" x14ac:dyDescent="0.35">
      <c r="P16" s="2" t="s">
        <v>0</v>
      </c>
      <c r="Q16" s="3" t="s">
        <v>1</v>
      </c>
      <c r="R16" s="4" t="s">
        <v>2</v>
      </c>
    </row>
    <row r="17" spans="16:18" x14ac:dyDescent="0.35">
      <c r="P17" s="5"/>
      <c r="Q17" s="6"/>
      <c r="R17" s="7"/>
    </row>
    <row r="18" spans="16:18" ht="15" thickBot="1" x14ac:dyDescent="0.4">
      <c r="P18" s="8" t="s">
        <v>3</v>
      </c>
      <c r="Q18" s="9" t="s">
        <v>5</v>
      </c>
      <c r="R18" s="10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R16"/>
  <sheetViews>
    <sheetView showGridLines="0" topLeftCell="C1" workbookViewId="0">
      <selection activeCell="G32" sqref="G32"/>
    </sheetView>
  </sheetViews>
  <sheetFormatPr defaultRowHeight="14.5" x14ac:dyDescent="0.35"/>
  <cols>
    <col min="2" max="2" width="22.08984375" style="11" bestFit="1" customWidth="1"/>
    <col min="3" max="3" width="9.08984375" style="11"/>
    <col min="4" max="4" width="12.08984375" style="11" bestFit="1" customWidth="1"/>
    <col min="5" max="5" width="12" style="11" bestFit="1" customWidth="1"/>
    <col min="6" max="6" width="9.08984375" style="11"/>
    <col min="7" max="7" width="19" style="11" bestFit="1" customWidth="1"/>
    <col min="8" max="18" width="5.54296875" style="11" customWidth="1"/>
  </cols>
  <sheetData>
    <row r="3" spans="2:18" ht="15" thickBot="1" x14ac:dyDescent="0.4"/>
    <row r="4" spans="2:18" x14ac:dyDescent="0.35">
      <c r="B4" s="46" t="s">
        <v>6</v>
      </c>
      <c r="C4" s="47"/>
      <c r="D4" s="47"/>
      <c r="E4" s="47"/>
      <c r="F4" s="47"/>
      <c r="G4" s="48"/>
      <c r="H4" s="46" t="s">
        <v>31</v>
      </c>
      <c r="I4" s="47"/>
      <c r="J4" s="47"/>
      <c r="K4" s="47"/>
      <c r="L4" s="47"/>
      <c r="M4" s="47"/>
      <c r="N4" s="47"/>
      <c r="O4" s="47"/>
      <c r="P4" s="47"/>
      <c r="Q4" s="47"/>
      <c r="R4" s="48"/>
    </row>
    <row r="5" spans="2:18" ht="30.75" customHeight="1" x14ac:dyDescent="0.35">
      <c r="B5" s="58" t="s">
        <v>7</v>
      </c>
      <c r="C5" s="60" t="s">
        <v>8</v>
      </c>
      <c r="D5" s="60" t="s">
        <v>9</v>
      </c>
      <c r="E5" s="60" t="s">
        <v>10</v>
      </c>
      <c r="F5" s="60" t="s">
        <v>11</v>
      </c>
      <c r="G5" s="62" t="s">
        <v>32</v>
      </c>
      <c r="H5" s="55" t="s">
        <v>14</v>
      </c>
      <c r="I5" s="56"/>
      <c r="J5" s="56"/>
      <c r="K5" s="56"/>
      <c r="L5" s="56"/>
      <c r="M5" s="56"/>
      <c r="N5" s="56"/>
      <c r="O5" s="56"/>
      <c r="P5" s="56"/>
      <c r="Q5" s="56"/>
      <c r="R5" s="57"/>
    </row>
    <row r="6" spans="2:18" ht="14.25" customHeight="1" thickBot="1" x14ac:dyDescent="0.4">
      <c r="B6" s="59"/>
      <c r="C6" s="61"/>
      <c r="D6" s="61"/>
      <c r="E6" s="61"/>
      <c r="F6" s="61"/>
      <c r="G6" s="63"/>
      <c r="H6" s="20">
        <v>2</v>
      </c>
      <c r="I6" s="16">
        <v>4</v>
      </c>
      <c r="J6" s="16">
        <v>6</v>
      </c>
      <c r="K6" s="16">
        <v>8</v>
      </c>
      <c r="L6" s="16">
        <v>10</v>
      </c>
      <c r="M6" s="16">
        <v>12</v>
      </c>
      <c r="N6" s="16">
        <v>14</v>
      </c>
      <c r="O6" s="16">
        <v>16</v>
      </c>
      <c r="P6" s="16">
        <v>18</v>
      </c>
      <c r="Q6" s="16">
        <v>20</v>
      </c>
      <c r="R6" s="17">
        <v>22</v>
      </c>
    </row>
    <row r="7" spans="2:18" x14ac:dyDescent="0.35">
      <c r="B7" s="13">
        <v>1</v>
      </c>
      <c r="C7" s="14">
        <v>4</v>
      </c>
      <c r="D7" s="14">
        <v>0</v>
      </c>
      <c r="E7" s="14">
        <v>4</v>
      </c>
      <c r="F7" s="14">
        <v>0</v>
      </c>
      <c r="G7" s="15">
        <v>8</v>
      </c>
      <c r="H7" s="13">
        <v>4</v>
      </c>
      <c r="I7" s="14">
        <v>4</v>
      </c>
      <c r="J7" s="14"/>
      <c r="K7" s="14"/>
      <c r="L7" s="14"/>
      <c r="M7" s="14"/>
      <c r="N7" s="14"/>
      <c r="O7" s="14"/>
      <c r="P7" s="14"/>
      <c r="Q7" s="14"/>
      <c r="R7" s="15"/>
    </row>
    <row r="8" spans="2:18" x14ac:dyDescent="0.35">
      <c r="B8" s="5">
        <v>2</v>
      </c>
      <c r="C8" s="12">
        <v>8</v>
      </c>
      <c r="D8" s="12">
        <v>4</v>
      </c>
      <c r="E8" s="12">
        <v>14</v>
      </c>
      <c r="F8" s="12">
        <v>2</v>
      </c>
      <c r="G8" s="7">
        <v>40</v>
      </c>
      <c r="H8" s="5"/>
      <c r="I8" s="12"/>
      <c r="J8" s="12">
        <v>10</v>
      </c>
      <c r="K8" s="12">
        <v>10</v>
      </c>
      <c r="L8" s="12">
        <v>10</v>
      </c>
      <c r="M8" s="12">
        <v>10</v>
      </c>
      <c r="N8" s="12"/>
      <c r="O8" s="12"/>
      <c r="P8" s="12"/>
      <c r="Q8" s="12"/>
      <c r="R8" s="7"/>
    </row>
    <row r="9" spans="2:18" x14ac:dyDescent="0.35">
      <c r="B9" s="5">
        <v>3</v>
      </c>
      <c r="C9" s="12">
        <v>6</v>
      </c>
      <c r="D9" s="12">
        <v>4</v>
      </c>
      <c r="E9" s="12">
        <v>10</v>
      </c>
      <c r="F9" s="12">
        <v>0</v>
      </c>
      <c r="G9" s="7">
        <v>30</v>
      </c>
      <c r="H9" s="5"/>
      <c r="I9" s="12"/>
      <c r="J9" s="12">
        <v>10</v>
      </c>
      <c r="K9" s="12">
        <v>15</v>
      </c>
      <c r="L9" s="12">
        <v>5</v>
      </c>
      <c r="M9" s="12" t="s">
        <v>30</v>
      </c>
      <c r="N9" s="12" t="s">
        <v>30</v>
      </c>
      <c r="O9" s="12" t="s">
        <v>30</v>
      </c>
      <c r="P9" s="12"/>
      <c r="Q9" s="12"/>
      <c r="R9" s="7"/>
    </row>
    <row r="10" spans="2:18" x14ac:dyDescent="0.35">
      <c r="B10" s="5">
        <v>4</v>
      </c>
      <c r="C10" s="12">
        <v>4</v>
      </c>
      <c r="D10" s="12">
        <v>4</v>
      </c>
      <c r="E10" s="12">
        <v>10</v>
      </c>
      <c r="F10" s="12">
        <v>2</v>
      </c>
      <c r="G10" s="7">
        <v>20</v>
      </c>
      <c r="H10" s="5"/>
      <c r="I10" s="12"/>
      <c r="J10" s="12">
        <v>10</v>
      </c>
      <c r="K10" s="12">
        <v>10</v>
      </c>
      <c r="L10" s="12" t="s">
        <v>30</v>
      </c>
      <c r="M10" s="12" t="s">
        <v>30</v>
      </c>
      <c r="N10" s="12" t="s">
        <v>30</v>
      </c>
      <c r="O10" s="12"/>
      <c r="P10" s="12"/>
      <c r="Q10" s="12"/>
      <c r="R10" s="7"/>
    </row>
    <row r="11" spans="2:18" x14ac:dyDescent="0.35">
      <c r="B11" s="5">
        <v>5</v>
      </c>
      <c r="C11" s="12">
        <v>4</v>
      </c>
      <c r="D11" s="12">
        <v>10</v>
      </c>
      <c r="E11" s="12">
        <v>14</v>
      </c>
      <c r="F11" s="12">
        <v>0</v>
      </c>
      <c r="G11" s="7">
        <v>40</v>
      </c>
      <c r="H11" s="5"/>
      <c r="I11" s="12"/>
      <c r="J11" s="12"/>
      <c r="K11" s="12"/>
      <c r="L11" s="12" t="s">
        <v>30</v>
      </c>
      <c r="M11" s="12">
        <v>20</v>
      </c>
      <c r="N11" s="12">
        <v>20</v>
      </c>
      <c r="O11" s="12" t="s">
        <v>30</v>
      </c>
      <c r="P11" s="12"/>
      <c r="Q11" s="12"/>
      <c r="R11" s="7"/>
    </row>
    <row r="12" spans="2:18" x14ac:dyDescent="0.35">
      <c r="B12" s="5">
        <v>6</v>
      </c>
      <c r="C12" s="12">
        <v>8</v>
      </c>
      <c r="D12" s="12">
        <v>8</v>
      </c>
      <c r="E12" s="12">
        <v>18</v>
      </c>
      <c r="F12" s="12">
        <v>2</v>
      </c>
      <c r="G12" s="7">
        <v>60</v>
      </c>
      <c r="H12" s="5"/>
      <c r="I12" s="12"/>
      <c r="J12" s="12"/>
      <c r="K12" s="12"/>
      <c r="L12" s="12">
        <v>20</v>
      </c>
      <c r="M12" s="12">
        <v>20</v>
      </c>
      <c r="N12" s="12">
        <v>10</v>
      </c>
      <c r="O12" s="12">
        <v>10</v>
      </c>
      <c r="P12" s="12" t="s">
        <v>30</v>
      </c>
      <c r="Q12" s="12" t="s">
        <v>30</v>
      </c>
      <c r="R12" s="7" t="s">
        <v>30</v>
      </c>
    </row>
    <row r="13" spans="2:18" x14ac:dyDescent="0.35">
      <c r="B13" s="5">
        <v>7</v>
      </c>
      <c r="C13" s="12">
        <v>4</v>
      </c>
      <c r="D13" s="12">
        <v>14</v>
      </c>
      <c r="E13" s="12">
        <v>18</v>
      </c>
      <c r="F13" s="12">
        <v>0</v>
      </c>
      <c r="G13" s="7">
        <v>20</v>
      </c>
      <c r="H13" s="5"/>
      <c r="I13" s="12"/>
      <c r="J13" s="12"/>
      <c r="K13" s="12"/>
      <c r="L13" s="12"/>
      <c r="M13" s="12"/>
      <c r="N13" s="12"/>
      <c r="O13" s="12">
        <v>10</v>
      </c>
      <c r="P13" s="12">
        <v>10</v>
      </c>
      <c r="Q13" s="12"/>
      <c r="R13" s="7"/>
    </row>
    <row r="14" spans="2:18" x14ac:dyDescent="0.35">
      <c r="B14" s="5">
        <v>8</v>
      </c>
      <c r="C14" s="12">
        <v>4</v>
      </c>
      <c r="D14" s="12">
        <v>18</v>
      </c>
      <c r="E14" s="12">
        <v>22</v>
      </c>
      <c r="F14" s="12">
        <v>0</v>
      </c>
      <c r="G14" s="7">
        <v>30</v>
      </c>
      <c r="H14" s="5"/>
      <c r="I14" s="12"/>
      <c r="J14" s="12"/>
      <c r="K14" s="12"/>
      <c r="L14" s="12"/>
      <c r="M14" s="12"/>
      <c r="N14" s="12"/>
      <c r="O14" s="12"/>
      <c r="P14" s="12"/>
      <c r="Q14" s="12">
        <v>20</v>
      </c>
      <c r="R14" s="7">
        <v>10</v>
      </c>
    </row>
    <row r="15" spans="2:18" x14ac:dyDescent="0.35">
      <c r="B15" s="49" t="s">
        <v>13</v>
      </c>
      <c r="C15" s="50"/>
      <c r="D15" s="50"/>
      <c r="E15" s="50"/>
      <c r="F15" s="50"/>
      <c r="G15" s="51"/>
      <c r="H15" s="5">
        <v>4</v>
      </c>
      <c r="I15" s="12">
        <v>4</v>
      </c>
      <c r="J15" s="12">
        <v>30</v>
      </c>
      <c r="K15" s="12">
        <v>35</v>
      </c>
      <c r="L15" s="12">
        <v>35</v>
      </c>
      <c r="M15" s="12">
        <v>50</v>
      </c>
      <c r="N15" s="12">
        <v>30</v>
      </c>
      <c r="O15" s="12">
        <v>20</v>
      </c>
      <c r="P15" s="12">
        <v>10</v>
      </c>
      <c r="Q15" s="12">
        <v>20</v>
      </c>
      <c r="R15" s="7">
        <v>10</v>
      </c>
    </row>
    <row r="16" spans="2:18" ht="15" thickBot="1" x14ac:dyDescent="0.4">
      <c r="B16" s="52" t="s">
        <v>12</v>
      </c>
      <c r="C16" s="53"/>
      <c r="D16" s="53"/>
      <c r="E16" s="53"/>
      <c r="F16" s="53"/>
      <c r="G16" s="54"/>
      <c r="H16" s="8">
        <v>4</v>
      </c>
      <c r="I16" s="9">
        <v>8</v>
      </c>
      <c r="J16" s="9">
        <v>38</v>
      </c>
      <c r="K16" s="9">
        <v>73</v>
      </c>
      <c r="L16" s="9">
        <v>108</v>
      </c>
      <c r="M16" s="9">
        <v>158</v>
      </c>
      <c r="N16" s="9">
        <v>188</v>
      </c>
      <c r="O16" s="9">
        <v>208</v>
      </c>
      <c r="P16" s="9">
        <v>218</v>
      </c>
      <c r="Q16" s="9">
        <v>238</v>
      </c>
      <c r="R16" s="10">
        <v>248</v>
      </c>
    </row>
  </sheetData>
  <mergeCells count="11">
    <mergeCell ref="H4:R4"/>
    <mergeCell ref="B4:G4"/>
    <mergeCell ref="B15:G15"/>
    <mergeCell ref="B16:G16"/>
    <mergeCell ref="H5:R5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3:L54"/>
  <sheetViews>
    <sheetView showGridLines="0" topLeftCell="A19" zoomScale="74" zoomScaleNormal="74" workbookViewId="0">
      <selection activeCell="K53" sqref="K53"/>
    </sheetView>
  </sheetViews>
  <sheetFormatPr defaultRowHeight="14.5" x14ac:dyDescent="0.35"/>
  <cols>
    <col min="4" max="4" width="27.54296875" bestFit="1" customWidth="1"/>
    <col min="5" max="5" width="11.6328125" bestFit="1" customWidth="1"/>
    <col min="11" max="12" width="9.08984375" style="11"/>
  </cols>
  <sheetData>
    <row r="3" spans="4:12" x14ac:dyDescent="0.35">
      <c r="D3" s="18" t="s">
        <v>23</v>
      </c>
      <c r="E3" s="1"/>
      <c r="F3" s="1"/>
      <c r="G3" s="1"/>
      <c r="H3" s="1"/>
      <c r="I3" s="1"/>
      <c r="J3" s="1"/>
      <c r="K3" s="12"/>
      <c r="L3" s="12"/>
    </row>
    <row r="4" spans="4:12" x14ac:dyDescent="0.35">
      <c r="D4" s="1"/>
      <c r="E4" s="1"/>
      <c r="F4" s="1"/>
      <c r="G4" s="1"/>
      <c r="H4" s="1"/>
      <c r="I4" s="1"/>
      <c r="J4" s="1"/>
      <c r="K4" s="12"/>
      <c r="L4" s="12"/>
    </row>
    <row r="5" spans="4:12" x14ac:dyDescent="0.35">
      <c r="D5" s="12" t="s">
        <v>15</v>
      </c>
      <c r="E5" s="12" t="s">
        <v>17</v>
      </c>
      <c r="F5" s="12" t="s">
        <v>18</v>
      </c>
      <c r="G5" s="12" t="s">
        <v>19</v>
      </c>
      <c r="H5" s="12" t="s">
        <v>20</v>
      </c>
      <c r="I5" s="12" t="s">
        <v>21</v>
      </c>
      <c r="J5" s="12" t="s">
        <v>22</v>
      </c>
      <c r="K5" s="12" t="s">
        <v>28</v>
      </c>
      <c r="L5" s="12" t="s">
        <v>27</v>
      </c>
    </row>
    <row r="6" spans="4:12" x14ac:dyDescent="0.35">
      <c r="D6" s="12">
        <v>1</v>
      </c>
      <c r="E6" s="12">
        <v>50</v>
      </c>
      <c r="F6" s="12">
        <v>4</v>
      </c>
      <c r="G6" s="12">
        <v>4</v>
      </c>
      <c r="H6" s="12">
        <v>4</v>
      </c>
      <c r="I6" s="12">
        <f>F6-G6</f>
        <v>0</v>
      </c>
      <c r="J6" s="12">
        <f>F6-H6</f>
        <v>0</v>
      </c>
      <c r="K6" s="12">
        <f>F6/G6</f>
        <v>1</v>
      </c>
      <c r="L6" s="12">
        <f>F6/H6</f>
        <v>1</v>
      </c>
    </row>
    <row r="7" spans="4:12" x14ac:dyDescent="0.35">
      <c r="D7" s="12" t="s">
        <v>16</v>
      </c>
      <c r="E7" s="12"/>
      <c r="F7" s="12">
        <v>4</v>
      </c>
      <c r="G7" s="12">
        <v>4</v>
      </c>
      <c r="H7" s="12">
        <v>4</v>
      </c>
      <c r="I7" s="12">
        <f>F7-G7</f>
        <v>0</v>
      </c>
      <c r="J7" s="12">
        <f>F7-H7</f>
        <v>0</v>
      </c>
      <c r="K7" s="12">
        <f>F7/G7</f>
        <v>1</v>
      </c>
      <c r="L7" s="12">
        <v>1</v>
      </c>
    </row>
    <row r="8" spans="4:12" x14ac:dyDescent="0.35">
      <c r="D8" s="64"/>
      <c r="E8" s="65"/>
      <c r="F8" s="65"/>
      <c r="G8" s="65"/>
      <c r="H8" s="65"/>
      <c r="I8" s="65"/>
      <c r="J8" s="65"/>
      <c r="K8" s="66"/>
      <c r="L8" s="67"/>
    </row>
    <row r="9" spans="4:12" x14ac:dyDescent="0.35">
      <c r="D9" s="18" t="s">
        <v>24</v>
      </c>
      <c r="E9" s="1"/>
      <c r="F9" s="1"/>
      <c r="G9" s="1"/>
      <c r="H9" s="1"/>
      <c r="I9" s="1"/>
      <c r="J9" s="1"/>
      <c r="K9" s="12"/>
      <c r="L9" s="12"/>
    </row>
    <row r="10" spans="4:12" x14ac:dyDescent="0.35">
      <c r="D10" s="1"/>
      <c r="E10" s="1"/>
      <c r="F10" s="1"/>
      <c r="G10" s="1"/>
      <c r="H10" s="1"/>
      <c r="I10" s="1"/>
      <c r="J10" s="1"/>
      <c r="K10" s="12"/>
      <c r="L10" s="12"/>
    </row>
    <row r="11" spans="4:12" x14ac:dyDescent="0.35">
      <c r="D11" s="12" t="s">
        <v>15</v>
      </c>
      <c r="E11" s="12" t="s">
        <v>17</v>
      </c>
      <c r="F11" s="12" t="s">
        <v>18</v>
      </c>
      <c r="G11" s="12" t="s">
        <v>19</v>
      </c>
      <c r="H11" s="12" t="s">
        <v>20</v>
      </c>
      <c r="I11" s="12" t="s">
        <v>21</v>
      </c>
      <c r="J11" s="12" t="s">
        <v>22</v>
      </c>
      <c r="K11" s="12" t="s">
        <v>28</v>
      </c>
      <c r="L11" s="12" t="s">
        <v>27</v>
      </c>
    </row>
    <row r="12" spans="4:12" x14ac:dyDescent="0.35">
      <c r="D12" s="12">
        <v>1</v>
      </c>
      <c r="E12" s="12">
        <v>100</v>
      </c>
      <c r="F12" s="12">
        <f>8</f>
        <v>8</v>
      </c>
      <c r="G12" s="12">
        <v>10</v>
      </c>
      <c r="H12" s="12">
        <v>8</v>
      </c>
      <c r="I12" s="12">
        <f>F12-G12</f>
        <v>-2</v>
      </c>
      <c r="J12" s="12">
        <v>0</v>
      </c>
      <c r="K12" s="12">
        <f>F12/G12</f>
        <v>0.8</v>
      </c>
      <c r="L12" s="12">
        <v>1</v>
      </c>
    </row>
    <row r="13" spans="4:12" x14ac:dyDescent="0.35">
      <c r="D13" s="12" t="s">
        <v>16</v>
      </c>
      <c r="E13" s="12"/>
      <c r="F13" s="12">
        <v>8</v>
      </c>
      <c r="G13" s="12">
        <v>10</v>
      </c>
      <c r="H13" s="12">
        <v>8</v>
      </c>
      <c r="I13" s="12">
        <f>F13-G13</f>
        <v>-2</v>
      </c>
      <c r="J13" s="12">
        <v>0</v>
      </c>
      <c r="K13" s="12">
        <f>F13/G13</f>
        <v>0.8</v>
      </c>
      <c r="L13" s="12">
        <v>1</v>
      </c>
    </row>
    <row r="14" spans="4:12" x14ac:dyDescent="0.35">
      <c r="D14" s="64"/>
      <c r="E14" s="65"/>
      <c r="F14" s="65"/>
      <c r="G14" s="65"/>
      <c r="H14" s="65"/>
      <c r="I14" s="65"/>
      <c r="J14" s="65"/>
      <c r="K14" s="66"/>
      <c r="L14" s="67"/>
    </row>
    <row r="15" spans="4:12" x14ac:dyDescent="0.35">
      <c r="D15" s="18" t="s">
        <v>25</v>
      </c>
      <c r="E15" s="1"/>
      <c r="F15" s="1"/>
      <c r="G15" s="1"/>
      <c r="H15" s="1"/>
      <c r="I15" s="1"/>
      <c r="J15" s="1"/>
      <c r="K15" s="12"/>
      <c r="L15" s="12"/>
    </row>
    <row r="16" spans="4:12" x14ac:dyDescent="0.35">
      <c r="D16" s="1"/>
      <c r="E16" s="1"/>
      <c r="F16" s="1"/>
      <c r="G16" s="1"/>
      <c r="H16" s="1"/>
      <c r="I16" s="1"/>
      <c r="J16" s="1"/>
      <c r="K16" s="12"/>
      <c r="L16" s="12"/>
    </row>
    <row r="17" spans="4:12" x14ac:dyDescent="0.35">
      <c r="D17" s="12" t="s">
        <v>15</v>
      </c>
      <c r="E17" s="12" t="s">
        <v>17</v>
      </c>
      <c r="F17" s="12" t="s">
        <v>18</v>
      </c>
      <c r="G17" s="12" t="s">
        <v>19</v>
      </c>
      <c r="H17" s="12" t="s">
        <v>20</v>
      </c>
      <c r="I17" s="12" t="s">
        <v>21</v>
      </c>
      <c r="J17" s="12" t="s">
        <v>22</v>
      </c>
      <c r="K17" s="12" t="s">
        <v>28</v>
      </c>
      <c r="L17" s="12" t="s">
        <v>27</v>
      </c>
    </row>
    <row r="18" spans="4:12" x14ac:dyDescent="0.35">
      <c r="D18" s="12">
        <v>1</v>
      </c>
      <c r="E18" s="12">
        <v>100</v>
      </c>
      <c r="F18" s="12">
        <v>8</v>
      </c>
      <c r="G18" s="12">
        <v>10</v>
      </c>
      <c r="H18" s="12">
        <v>8</v>
      </c>
      <c r="I18" s="12">
        <f>F18-G18</f>
        <v>-2</v>
      </c>
      <c r="J18" s="12">
        <f>F18-H18</f>
        <v>0</v>
      </c>
      <c r="K18" s="24">
        <f>F18/G18</f>
        <v>0.8</v>
      </c>
      <c r="L18" s="12">
        <f>F18/H18</f>
        <v>1</v>
      </c>
    </row>
    <row r="19" spans="4:12" x14ac:dyDescent="0.35">
      <c r="D19" s="12">
        <v>2</v>
      </c>
      <c r="E19" s="12">
        <v>25</v>
      </c>
      <c r="F19" s="12">
        <f>10*0.25</f>
        <v>2.5</v>
      </c>
      <c r="G19" s="12">
        <v>15</v>
      </c>
      <c r="H19" s="12">
        <v>10</v>
      </c>
      <c r="I19" s="12">
        <f t="shared" ref="I19:I22" si="0">F19-G19</f>
        <v>-12.5</v>
      </c>
      <c r="J19" s="12">
        <f t="shared" ref="J19:J22" si="1">F19-H19</f>
        <v>-7.5</v>
      </c>
      <c r="K19" s="24">
        <f t="shared" ref="K19:K22" si="2">F19/G19</f>
        <v>0.16666666666666666</v>
      </c>
      <c r="L19" s="12">
        <f t="shared" ref="L19:L22" si="3">F19/H19</f>
        <v>0.25</v>
      </c>
    </row>
    <row r="20" spans="4:12" x14ac:dyDescent="0.35">
      <c r="D20" s="12">
        <v>3</v>
      </c>
      <c r="E20" s="12">
        <v>33</v>
      </c>
      <c r="F20" s="12">
        <f>10*0.333</f>
        <v>3.33</v>
      </c>
      <c r="G20" s="12">
        <v>12</v>
      </c>
      <c r="H20" s="12">
        <v>10</v>
      </c>
      <c r="I20" s="12">
        <f t="shared" si="0"/>
        <v>-8.67</v>
      </c>
      <c r="J20" s="12">
        <f t="shared" si="1"/>
        <v>-6.67</v>
      </c>
      <c r="K20" s="24">
        <f t="shared" si="2"/>
        <v>0.27750000000000002</v>
      </c>
      <c r="L20" s="12">
        <f t="shared" si="3"/>
        <v>0.33300000000000002</v>
      </c>
    </row>
    <row r="21" spans="4:12" x14ac:dyDescent="0.35">
      <c r="D21" s="12">
        <v>4</v>
      </c>
      <c r="E21" s="12">
        <v>0</v>
      </c>
      <c r="F21" s="12">
        <v>0</v>
      </c>
      <c r="G21" s="12">
        <v>0</v>
      </c>
      <c r="H21" s="12">
        <v>10</v>
      </c>
      <c r="I21" s="12">
        <f t="shared" si="0"/>
        <v>0</v>
      </c>
      <c r="J21" s="12">
        <f t="shared" si="1"/>
        <v>-10</v>
      </c>
      <c r="K21" s="24">
        <v>0</v>
      </c>
      <c r="L21" s="12">
        <f t="shared" si="3"/>
        <v>0</v>
      </c>
    </row>
    <row r="22" spans="4:12" x14ac:dyDescent="0.35">
      <c r="D22" s="12" t="s">
        <v>16</v>
      </c>
      <c r="E22" s="12"/>
      <c r="F22" s="12">
        <f>SUM(F18:F21)</f>
        <v>13.83</v>
      </c>
      <c r="G22" s="12">
        <v>37</v>
      </c>
      <c r="H22" s="12">
        <v>38</v>
      </c>
      <c r="I22" s="12">
        <f t="shared" si="0"/>
        <v>-23.17</v>
      </c>
      <c r="J22" s="12">
        <f t="shared" si="1"/>
        <v>-24.17</v>
      </c>
      <c r="K22" s="24">
        <f t="shared" si="2"/>
        <v>0.3737837837837838</v>
      </c>
      <c r="L22" s="12">
        <f t="shared" si="3"/>
        <v>0.36394736842105263</v>
      </c>
    </row>
    <row r="23" spans="4:12" x14ac:dyDescent="0.35">
      <c r="D23" s="64"/>
      <c r="E23" s="65"/>
      <c r="F23" s="65"/>
      <c r="G23" s="65"/>
      <c r="H23" s="65"/>
      <c r="I23" s="65"/>
      <c r="J23" s="65"/>
      <c r="K23" s="66"/>
      <c r="L23" s="67"/>
    </row>
    <row r="24" spans="4:12" x14ac:dyDescent="0.35">
      <c r="D24" s="18" t="s">
        <v>33</v>
      </c>
      <c r="E24" s="1"/>
      <c r="F24" s="1"/>
      <c r="G24" s="1"/>
      <c r="H24" s="1"/>
      <c r="I24" s="1"/>
      <c r="J24" s="1"/>
      <c r="K24" s="12"/>
      <c r="L24" s="12"/>
    </row>
    <row r="25" spans="4:12" x14ac:dyDescent="0.35">
      <c r="D25" s="1"/>
      <c r="E25" s="1"/>
      <c r="F25" s="1"/>
      <c r="G25" s="1"/>
      <c r="H25" s="1"/>
      <c r="I25" s="1"/>
      <c r="J25" s="1"/>
      <c r="K25" s="12"/>
      <c r="L25" s="12"/>
    </row>
    <row r="26" spans="4:12" x14ac:dyDescent="0.35">
      <c r="D26" s="12" t="s">
        <v>15</v>
      </c>
      <c r="E26" s="12" t="s">
        <v>17</v>
      </c>
      <c r="F26" s="12" t="s">
        <v>18</v>
      </c>
      <c r="G26" s="12" t="s">
        <v>19</v>
      </c>
      <c r="H26" s="12" t="s">
        <v>20</v>
      </c>
      <c r="I26" s="12" t="s">
        <v>21</v>
      </c>
      <c r="J26" s="12" t="s">
        <v>22</v>
      </c>
      <c r="K26" s="12" t="s">
        <v>28</v>
      </c>
      <c r="L26" s="12" t="s">
        <v>27</v>
      </c>
    </row>
    <row r="27" spans="4:12" x14ac:dyDescent="0.35">
      <c r="D27" s="12">
        <v>1</v>
      </c>
      <c r="E27" s="12">
        <v>100</v>
      </c>
      <c r="F27" s="12">
        <v>8</v>
      </c>
      <c r="G27" s="12">
        <v>10</v>
      </c>
      <c r="H27" s="12">
        <v>8</v>
      </c>
      <c r="I27" s="12">
        <f>F27-G27</f>
        <v>-2</v>
      </c>
      <c r="J27" s="12">
        <f>F27-H27</f>
        <v>0</v>
      </c>
      <c r="K27" s="12">
        <f>F27/G27</f>
        <v>0.8</v>
      </c>
      <c r="L27" s="12">
        <f>F27/H27</f>
        <v>1</v>
      </c>
    </row>
    <row r="28" spans="4:12" x14ac:dyDescent="0.35">
      <c r="D28" s="12">
        <v>2</v>
      </c>
      <c r="E28" s="12">
        <v>30</v>
      </c>
      <c r="F28" s="12">
        <f>0.3*20</f>
        <v>6</v>
      </c>
      <c r="G28" s="12">
        <v>20</v>
      </c>
      <c r="H28" s="12">
        <v>20</v>
      </c>
      <c r="I28" s="12">
        <f t="shared" ref="I28:I31" si="4">F28-G28</f>
        <v>-14</v>
      </c>
      <c r="J28" s="12">
        <f t="shared" ref="J28:J31" si="5">F28-H28</f>
        <v>-14</v>
      </c>
      <c r="K28" s="12">
        <f t="shared" ref="K28:K29" si="6">F28/G28</f>
        <v>0.3</v>
      </c>
      <c r="L28" s="12">
        <f t="shared" ref="L28:L31" si="7">F28/H28</f>
        <v>0.3</v>
      </c>
    </row>
    <row r="29" spans="4:12" x14ac:dyDescent="0.35">
      <c r="D29" s="12">
        <v>3</v>
      </c>
      <c r="E29" s="12">
        <v>60</v>
      </c>
      <c r="F29" s="12">
        <f>0.6*25</f>
        <v>15</v>
      </c>
      <c r="G29" s="12">
        <v>25</v>
      </c>
      <c r="H29" s="12">
        <v>25</v>
      </c>
      <c r="I29" s="12">
        <f t="shared" si="4"/>
        <v>-10</v>
      </c>
      <c r="J29" s="12">
        <f t="shared" si="5"/>
        <v>-10</v>
      </c>
      <c r="K29" s="12">
        <f t="shared" si="6"/>
        <v>0.6</v>
      </c>
      <c r="L29" s="12">
        <f t="shared" si="7"/>
        <v>0.6</v>
      </c>
    </row>
    <row r="30" spans="4:12" x14ac:dyDescent="0.35">
      <c r="D30" s="12">
        <v>4</v>
      </c>
      <c r="E30" s="12">
        <v>0</v>
      </c>
      <c r="F30" s="12">
        <v>0</v>
      </c>
      <c r="G30" s="12">
        <v>0</v>
      </c>
      <c r="H30" s="12">
        <v>20</v>
      </c>
      <c r="I30" s="12">
        <f t="shared" si="4"/>
        <v>0</v>
      </c>
      <c r="J30" s="12">
        <f t="shared" si="5"/>
        <v>-20</v>
      </c>
      <c r="K30" s="12">
        <v>0</v>
      </c>
      <c r="L30" s="12">
        <f t="shared" si="7"/>
        <v>0</v>
      </c>
    </row>
    <row r="31" spans="4:12" x14ac:dyDescent="0.35">
      <c r="D31" s="12" t="s">
        <v>16</v>
      </c>
      <c r="E31" s="12"/>
      <c r="F31" s="12">
        <f>SUM(F27:F30)</f>
        <v>29</v>
      </c>
      <c r="G31" s="12">
        <v>55</v>
      </c>
      <c r="H31" s="12">
        <f>SUM(H27:H30)</f>
        <v>73</v>
      </c>
      <c r="I31" s="12">
        <f t="shared" si="4"/>
        <v>-26</v>
      </c>
      <c r="J31" s="12">
        <f t="shared" si="5"/>
        <v>-44</v>
      </c>
      <c r="K31" s="12">
        <f>F31/G31</f>
        <v>0.52727272727272723</v>
      </c>
      <c r="L31" s="12">
        <f t="shared" si="7"/>
        <v>0.39726027397260272</v>
      </c>
    </row>
    <row r="32" spans="4:12" x14ac:dyDescent="0.35">
      <c r="D32" s="64"/>
      <c r="E32" s="65"/>
      <c r="F32" s="65"/>
      <c r="G32" s="65"/>
      <c r="H32" s="65"/>
      <c r="I32" s="65"/>
      <c r="J32" s="65"/>
      <c r="K32" s="66"/>
      <c r="L32" s="67"/>
    </row>
    <row r="33" spans="4:12" x14ac:dyDescent="0.35">
      <c r="D33" s="18" t="s">
        <v>34</v>
      </c>
      <c r="E33" s="1"/>
      <c r="F33" s="1"/>
      <c r="G33" s="1"/>
      <c r="H33" s="1"/>
      <c r="I33" s="1"/>
      <c r="J33" s="1"/>
      <c r="K33" s="12"/>
      <c r="L33" s="12"/>
    </row>
    <row r="34" spans="4:12" x14ac:dyDescent="0.35">
      <c r="D34" s="1"/>
      <c r="E34" s="1"/>
      <c r="F34" s="1"/>
      <c r="G34" s="1"/>
      <c r="H34" s="1"/>
      <c r="I34" s="1"/>
      <c r="J34" s="1"/>
      <c r="K34" s="12"/>
      <c r="L34" s="12"/>
    </row>
    <row r="35" spans="4:12" x14ac:dyDescent="0.35">
      <c r="D35" s="12" t="s">
        <v>15</v>
      </c>
      <c r="E35" s="12" t="s">
        <v>17</v>
      </c>
      <c r="F35" s="12" t="s">
        <v>18</v>
      </c>
      <c r="G35" s="12" t="s">
        <v>19</v>
      </c>
      <c r="H35" s="12" t="s">
        <v>20</v>
      </c>
      <c r="I35" s="12" t="s">
        <v>21</v>
      </c>
      <c r="J35" s="12" t="s">
        <v>22</v>
      </c>
      <c r="K35" s="12" t="s">
        <v>28</v>
      </c>
      <c r="L35" s="12" t="s">
        <v>27</v>
      </c>
    </row>
    <row r="36" spans="4:12" x14ac:dyDescent="0.35">
      <c r="D36" s="12">
        <v>1</v>
      </c>
      <c r="E36" s="12">
        <v>100</v>
      </c>
      <c r="F36" s="12">
        <v>8</v>
      </c>
      <c r="G36" s="12">
        <v>10</v>
      </c>
      <c r="H36" s="12">
        <v>8</v>
      </c>
      <c r="I36" s="12">
        <f>F36-G36</f>
        <v>-2</v>
      </c>
      <c r="J36" s="12">
        <f>F36-H36</f>
        <v>0</v>
      </c>
      <c r="K36" s="12">
        <f>F36/G36</f>
        <v>0.8</v>
      </c>
      <c r="L36" s="12">
        <f>F36/H36</f>
        <v>1</v>
      </c>
    </row>
    <row r="37" spans="4:12" x14ac:dyDescent="0.35">
      <c r="D37" s="12">
        <v>2</v>
      </c>
      <c r="E37" s="12">
        <v>60</v>
      </c>
      <c r="F37" s="12">
        <f>0.6*30</f>
        <v>18</v>
      </c>
      <c r="G37" s="12">
        <v>30</v>
      </c>
      <c r="H37" s="12">
        <v>30</v>
      </c>
      <c r="I37" s="12">
        <f t="shared" ref="I37:I42" si="8">F37-G37</f>
        <v>-12</v>
      </c>
      <c r="J37" s="12">
        <f t="shared" ref="J37:J42" si="9">F37-H37</f>
        <v>-12</v>
      </c>
      <c r="K37" s="12">
        <f t="shared" ref="K37:K42" si="10">F37/G37</f>
        <v>0.6</v>
      </c>
      <c r="L37" s="12">
        <f t="shared" ref="L37:L42" si="11">F37/H37</f>
        <v>0.6</v>
      </c>
    </row>
    <row r="38" spans="4:12" x14ac:dyDescent="0.35">
      <c r="D38" s="12">
        <v>3</v>
      </c>
      <c r="E38" s="12">
        <v>100</v>
      </c>
      <c r="F38" s="12">
        <v>30</v>
      </c>
      <c r="G38" s="12">
        <v>40</v>
      </c>
      <c r="H38" s="12">
        <v>30</v>
      </c>
      <c r="I38" s="12">
        <f t="shared" si="8"/>
        <v>-10</v>
      </c>
      <c r="J38" s="12">
        <f t="shared" si="9"/>
        <v>0</v>
      </c>
      <c r="K38" s="12">
        <f t="shared" si="10"/>
        <v>0.75</v>
      </c>
      <c r="L38" s="12">
        <f t="shared" si="11"/>
        <v>1</v>
      </c>
    </row>
    <row r="39" spans="4:12" x14ac:dyDescent="0.35">
      <c r="D39" s="12">
        <v>4</v>
      </c>
      <c r="E39" s="12">
        <v>50</v>
      </c>
      <c r="F39" s="12">
        <v>10</v>
      </c>
      <c r="G39" s="12">
        <v>20</v>
      </c>
      <c r="H39" s="12">
        <v>20</v>
      </c>
      <c r="I39" s="12">
        <f t="shared" si="8"/>
        <v>-10</v>
      </c>
      <c r="J39" s="12">
        <f t="shared" si="9"/>
        <v>-10</v>
      </c>
      <c r="K39" s="12">
        <f t="shared" si="10"/>
        <v>0.5</v>
      </c>
      <c r="L39" s="12">
        <f t="shared" si="11"/>
        <v>0.5</v>
      </c>
    </row>
    <row r="40" spans="4:12" x14ac:dyDescent="0.35">
      <c r="D40" s="12">
        <v>5</v>
      </c>
      <c r="E40" s="12">
        <v>0</v>
      </c>
      <c r="F40" s="12">
        <v>0</v>
      </c>
      <c r="G40" s="12">
        <v>0</v>
      </c>
      <c r="H40" s="12">
        <v>0</v>
      </c>
      <c r="I40" s="12">
        <f t="shared" si="8"/>
        <v>0</v>
      </c>
      <c r="J40" s="12">
        <f t="shared" si="9"/>
        <v>0</v>
      </c>
      <c r="K40" s="12">
        <v>0</v>
      </c>
      <c r="L40" s="12">
        <v>0</v>
      </c>
    </row>
    <row r="41" spans="4:12" x14ac:dyDescent="0.35">
      <c r="D41" s="12">
        <v>6</v>
      </c>
      <c r="E41" s="12">
        <v>30</v>
      </c>
      <c r="F41" s="12">
        <f>0.3*20</f>
        <v>6</v>
      </c>
      <c r="G41" s="12">
        <v>24</v>
      </c>
      <c r="H41" s="12">
        <v>20</v>
      </c>
      <c r="I41" s="12">
        <f t="shared" si="8"/>
        <v>-18</v>
      </c>
      <c r="J41" s="12">
        <f t="shared" si="9"/>
        <v>-14</v>
      </c>
      <c r="K41" s="12">
        <f t="shared" si="10"/>
        <v>0.25</v>
      </c>
      <c r="L41" s="12">
        <f t="shared" si="11"/>
        <v>0.3</v>
      </c>
    </row>
    <row r="42" spans="4:12" x14ac:dyDescent="0.35">
      <c r="D42" s="12" t="s">
        <v>16</v>
      </c>
      <c r="E42" s="12"/>
      <c r="F42" s="12">
        <f>SUM(F36:F41)</f>
        <v>72</v>
      </c>
      <c r="G42" s="12">
        <v>124</v>
      </c>
      <c r="H42" s="12">
        <f>SUM(H36:H41)</f>
        <v>108</v>
      </c>
      <c r="I42" s="12">
        <f t="shared" si="8"/>
        <v>-52</v>
      </c>
      <c r="J42" s="12">
        <f t="shared" si="9"/>
        <v>-36</v>
      </c>
      <c r="K42" s="12">
        <f t="shared" si="10"/>
        <v>0.58064516129032262</v>
      </c>
      <c r="L42" s="12">
        <f t="shared" si="11"/>
        <v>0.66666666666666663</v>
      </c>
    </row>
    <row r="43" spans="4:12" x14ac:dyDescent="0.35">
      <c r="D43" s="64"/>
      <c r="E43" s="65"/>
      <c r="F43" s="65"/>
      <c r="G43" s="65"/>
      <c r="H43" s="65"/>
      <c r="I43" s="65"/>
      <c r="J43" s="65"/>
      <c r="K43" s="66"/>
      <c r="L43" s="67"/>
    </row>
    <row r="44" spans="4:12" x14ac:dyDescent="0.35">
      <c r="D44" s="18" t="s">
        <v>35</v>
      </c>
      <c r="E44" s="1"/>
      <c r="F44" s="1"/>
      <c r="G44" s="1"/>
      <c r="H44" s="1"/>
      <c r="I44" s="1"/>
      <c r="J44" s="1"/>
      <c r="K44" s="12"/>
      <c r="L44" s="12"/>
    </row>
    <row r="45" spans="4:12" x14ac:dyDescent="0.35">
      <c r="D45" s="1"/>
      <c r="E45" s="1"/>
      <c r="F45" s="1"/>
      <c r="G45" s="1"/>
      <c r="H45" s="1"/>
      <c r="I45" s="1"/>
      <c r="J45" s="1"/>
      <c r="K45" s="12"/>
      <c r="L45" s="12"/>
    </row>
    <row r="46" spans="4:12" x14ac:dyDescent="0.35">
      <c r="D46" s="12" t="s">
        <v>15</v>
      </c>
      <c r="E46" s="12" t="s">
        <v>17</v>
      </c>
      <c r="F46" s="12" t="s">
        <v>18</v>
      </c>
      <c r="G46" s="12" t="s">
        <v>19</v>
      </c>
      <c r="H46" s="12" t="s">
        <v>20</v>
      </c>
      <c r="I46" s="12" t="s">
        <v>21</v>
      </c>
      <c r="J46" s="12" t="s">
        <v>22</v>
      </c>
      <c r="K46" s="12" t="s">
        <v>28</v>
      </c>
      <c r="L46" s="12" t="s">
        <v>27</v>
      </c>
    </row>
    <row r="47" spans="4:12" x14ac:dyDescent="0.35">
      <c r="D47" s="12">
        <v>1</v>
      </c>
      <c r="E47" s="12">
        <v>100</v>
      </c>
      <c r="F47" s="12">
        <v>8</v>
      </c>
      <c r="G47" s="12">
        <v>10</v>
      </c>
      <c r="H47" s="12">
        <v>8</v>
      </c>
      <c r="I47" s="12">
        <f>F47-G47</f>
        <v>-2</v>
      </c>
      <c r="J47" s="12">
        <f>F47-H47</f>
        <v>0</v>
      </c>
      <c r="K47" s="12">
        <f>F47/G47</f>
        <v>0.8</v>
      </c>
      <c r="L47" s="12">
        <f>F47/H47</f>
        <v>1</v>
      </c>
    </row>
    <row r="48" spans="4:12" x14ac:dyDescent="0.35">
      <c r="D48" s="12">
        <v>2</v>
      </c>
      <c r="E48" s="12">
        <v>100</v>
      </c>
      <c r="F48" s="12">
        <v>40</v>
      </c>
      <c r="G48" s="12">
        <v>50</v>
      </c>
      <c r="H48" s="12">
        <v>40</v>
      </c>
      <c r="I48" s="12">
        <f t="shared" ref="I48:I53" si="12">F48-G48</f>
        <v>-10</v>
      </c>
      <c r="J48" s="12">
        <f t="shared" ref="J48:J53" si="13">F48-H48</f>
        <v>0</v>
      </c>
      <c r="K48" s="12">
        <f t="shared" ref="K48:K53" si="14">F48/G48</f>
        <v>0.8</v>
      </c>
      <c r="L48" s="12">
        <f t="shared" ref="L48:L53" si="15">F48/H48</f>
        <v>1</v>
      </c>
    </row>
    <row r="49" spans="4:12" x14ac:dyDescent="0.35">
      <c r="D49" s="12">
        <v>3</v>
      </c>
      <c r="E49" s="12">
        <v>100</v>
      </c>
      <c r="F49" s="12">
        <v>30</v>
      </c>
      <c r="G49" s="12">
        <v>40</v>
      </c>
      <c r="H49" s="12">
        <v>30</v>
      </c>
      <c r="I49" s="12">
        <f t="shared" si="12"/>
        <v>-10</v>
      </c>
      <c r="J49" s="12">
        <f t="shared" si="13"/>
        <v>0</v>
      </c>
      <c r="K49" s="12">
        <f t="shared" si="14"/>
        <v>0.75</v>
      </c>
      <c r="L49" s="12">
        <f t="shared" si="15"/>
        <v>1</v>
      </c>
    </row>
    <row r="50" spans="4:12" x14ac:dyDescent="0.35">
      <c r="D50" s="12">
        <v>4</v>
      </c>
      <c r="E50" s="12">
        <v>100</v>
      </c>
      <c r="F50" s="12">
        <v>20</v>
      </c>
      <c r="G50" s="12">
        <v>40</v>
      </c>
      <c r="H50" s="12">
        <v>20</v>
      </c>
      <c r="I50" s="12">
        <f t="shared" si="12"/>
        <v>-20</v>
      </c>
      <c r="J50" s="12">
        <f t="shared" si="13"/>
        <v>0</v>
      </c>
      <c r="K50" s="12">
        <f t="shared" si="14"/>
        <v>0.5</v>
      </c>
      <c r="L50" s="12">
        <f t="shared" si="15"/>
        <v>1</v>
      </c>
    </row>
    <row r="51" spans="4:12" x14ac:dyDescent="0.35">
      <c r="D51" s="12">
        <v>5</v>
      </c>
      <c r="E51" s="12">
        <v>50</v>
      </c>
      <c r="F51" s="12">
        <v>10</v>
      </c>
      <c r="G51" s="12">
        <v>30</v>
      </c>
      <c r="H51" s="12">
        <v>20</v>
      </c>
      <c r="I51" s="12">
        <f t="shared" si="12"/>
        <v>-20</v>
      </c>
      <c r="J51" s="12">
        <f t="shared" si="13"/>
        <v>-10</v>
      </c>
      <c r="K51" s="12">
        <f t="shared" si="14"/>
        <v>0.33333333333333331</v>
      </c>
      <c r="L51" s="12">
        <f t="shared" si="15"/>
        <v>0.5</v>
      </c>
    </row>
    <row r="52" spans="4:12" x14ac:dyDescent="0.35">
      <c r="D52" s="12">
        <v>6</v>
      </c>
      <c r="E52" s="12">
        <v>50</v>
      </c>
      <c r="F52" s="12">
        <v>20</v>
      </c>
      <c r="G52" s="12">
        <v>40</v>
      </c>
      <c r="H52" s="12">
        <v>40</v>
      </c>
      <c r="I52" s="12">
        <f t="shared" si="12"/>
        <v>-20</v>
      </c>
      <c r="J52" s="12">
        <f t="shared" si="13"/>
        <v>-20</v>
      </c>
      <c r="K52" s="12">
        <f t="shared" si="14"/>
        <v>0.5</v>
      </c>
      <c r="L52" s="12">
        <f t="shared" si="15"/>
        <v>0.5</v>
      </c>
    </row>
    <row r="53" spans="4:12" x14ac:dyDescent="0.35">
      <c r="D53" s="12" t="s">
        <v>16</v>
      </c>
      <c r="E53" s="12"/>
      <c r="F53" s="12">
        <f>SUM(F47:F52)</f>
        <v>128</v>
      </c>
      <c r="G53" s="12">
        <v>210</v>
      </c>
      <c r="H53" s="12">
        <f>SUM(H47:H52)</f>
        <v>158</v>
      </c>
      <c r="I53" s="12">
        <f t="shared" si="12"/>
        <v>-82</v>
      </c>
      <c r="J53" s="12">
        <f t="shared" si="13"/>
        <v>-30</v>
      </c>
      <c r="K53" s="12">
        <f t="shared" si="14"/>
        <v>0.60952380952380958</v>
      </c>
      <c r="L53" s="12">
        <f t="shared" si="15"/>
        <v>0.810126582278481</v>
      </c>
    </row>
    <row r="54" spans="4:12" x14ac:dyDescent="0.35">
      <c r="D54" s="64"/>
      <c r="E54" s="65"/>
      <c r="F54" s="65"/>
      <c r="G54" s="65"/>
      <c r="H54" s="65"/>
      <c r="I54" s="65"/>
      <c r="J54" s="65"/>
      <c r="K54" s="66"/>
      <c r="L54" s="67"/>
    </row>
  </sheetData>
  <mergeCells count="6">
    <mergeCell ref="D54:L54"/>
    <mergeCell ref="D8:L8"/>
    <mergeCell ref="D14:L14"/>
    <mergeCell ref="D23:L23"/>
    <mergeCell ref="D32:L32"/>
    <mergeCell ref="D43:L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5:J11"/>
  <sheetViews>
    <sheetView showGridLines="0" workbookViewId="0">
      <selection activeCell="G12" sqref="G12"/>
    </sheetView>
  </sheetViews>
  <sheetFormatPr defaultRowHeight="14.5" x14ac:dyDescent="0.35"/>
  <cols>
    <col min="5" max="5" width="9.08984375" style="11"/>
  </cols>
  <sheetData>
    <row r="5" spans="5:10" x14ac:dyDescent="0.35">
      <c r="E5" s="19" t="s">
        <v>26</v>
      </c>
      <c r="F5" s="19" t="s">
        <v>27</v>
      </c>
      <c r="G5" s="19" t="s">
        <v>28</v>
      </c>
      <c r="H5" s="19" t="s">
        <v>29</v>
      </c>
    </row>
    <row r="6" spans="5:10" x14ac:dyDescent="0.35">
      <c r="E6" s="12">
        <v>2</v>
      </c>
      <c r="F6" s="1">
        <v>1</v>
      </c>
      <c r="G6" s="1">
        <v>1</v>
      </c>
      <c r="H6" s="1">
        <f>4/158</f>
        <v>2.5316455696202531E-2</v>
      </c>
      <c r="J6" s="21" t="s">
        <v>36</v>
      </c>
    </row>
    <row r="7" spans="5:10" x14ac:dyDescent="0.35">
      <c r="E7" s="12">
        <v>4</v>
      </c>
      <c r="F7" s="1">
        <v>1</v>
      </c>
      <c r="G7" s="1">
        <v>0.8</v>
      </c>
      <c r="H7" s="1">
        <f>8/158</f>
        <v>5.0632911392405063E-2</v>
      </c>
      <c r="J7" s="21" t="s">
        <v>37</v>
      </c>
    </row>
    <row r="8" spans="5:10" x14ac:dyDescent="0.35">
      <c r="E8" s="12">
        <v>6</v>
      </c>
      <c r="F8" s="1">
        <v>0.36399999999999999</v>
      </c>
      <c r="G8" s="1">
        <v>0.374</v>
      </c>
      <c r="H8" s="1">
        <f>13.83/158</f>
        <v>8.7531645569620259E-2</v>
      </c>
      <c r="J8" s="21" t="s">
        <v>38</v>
      </c>
    </row>
    <row r="9" spans="5:10" x14ac:dyDescent="0.35">
      <c r="E9" s="12">
        <v>8</v>
      </c>
      <c r="F9" s="1">
        <v>0.39700000000000002</v>
      </c>
      <c r="G9" s="1">
        <v>0.52700000000000002</v>
      </c>
      <c r="H9" s="1">
        <f>29/158</f>
        <v>0.18354430379746836</v>
      </c>
    </row>
    <row r="10" spans="5:10" x14ac:dyDescent="0.35">
      <c r="E10" s="12">
        <v>10</v>
      </c>
      <c r="F10" s="1">
        <v>0.66700000000000004</v>
      </c>
      <c r="G10" s="1">
        <v>0.58099999999999996</v>
      </c>
      <c r="H10" s="1">
        <f>72/158</f>
        <v>0.45569620253164556</v>
      </c>
    </row>
    <row r="11" spans="5:10" x14ac:dyDescent="0.35">
      <c r="E11" s="12">
        <v>12</v>
      </c>
      <c r="F11" s="1">
        <v>0.81</v>
      </c>
      <c r="G11" s="1">
        <v>0.61</v>
      </c>
      <c r="H11" s="1">
        <f>128/158</f>
        <v>0.810126582278481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B962-9629-47DB-8BC8-A11A63F04061}">
  <dimension ref="C2:N40"/>
  <sheetViews>
    <sheetView showGridLines="0" tabSelected="1" topLeftCell="B7" workbookViewId="0">
      <selection activeCell="O27" sqref="O27"/>
    </sheetView>
  </sheetViews>
  <sheetFormatPr defaultRowHeight="14.5" x14ac:dyDescent="0.35"/>
  <cols>
    <col min="16" max="16" width="8.7265625" customWidth="1"/>
  </cols>
  <sheetData>
    <row r="2" spans="3:14" x14ac:dyDescent="0.35">
      <c r="C2" t="s">
        <v>26</v>
      </c>
      <c r="D2" s="22">
        <v>2</v>
      </c>
      <c r="E2" s="22">
        <v>4</v>
      </c>
      <c r="F2" s="22">
        <v>6</v>
      </c>
      <c r="G2" s="22">
        <v>8</v>
      </c>
      <c r="H2" s="22">
        <v>10</v>
      </c>
      <c r="I2" s="22">
        <v>12</v>
      </c>
      <c r="J2" s="22">
        <v>14</v>
      </c>
      <c r="K2" s="22">
        <v>16</v>
      </c>
      <c r="L2" s="22">
        <v>18</v>
      </c>
      <c r="M2" s="22">
        <v>20</v>
      </c>
      <c r="N2" s="22">
        <v>22</v>
      </c>
    </row>
    <row r="3" spans="3:14" x14ac:dyDescent="0.35">
      <c r="C3" s="23" t="s">
        <v>39</v>
      </c>
      <c r="D3" s="22">
        <v>4</v>
      </c>
      <c r="E3" s="22">
        <v>8</v>
      </c>
      <c r="F3" s="22">
        <v>38</v>
      </c>
      <c r="G3" s="22">
        <v>73</v>
      </c>
      <c r="H3" s="22">
        <v>108</v>
      </c>
      <c r="I3" s="22">
        <v>158</v>
      </c>
      <c r="J3" s="22">
        <v>188</v>
      </c>
      <c r="K3" s="22">
        <v>208</v>
      </c>
      <c r="L3" s="22">
        <v>218</v>
      </c>
      <c r="M3" s="22">
        <v>238</v>
      </c>
      <c r="N3" s="22">
        <v>248</v>
      </c>
    </row>
    <row r="4" spans="3:14" x14ac:dyDescent="0.35">
      <c r="C4" t="s">
        <v>19</v>
      </c>
      <c r="D4" s="22">
        <v>4</v>
      </c>
      <c r="E4" s="22">
        <v>10</v>
      </c>
      <c r="F4" s="22">
        <v>37</v>
      </c>
      <c r="G4" s="22">
        <v>55</v>
      </c>
      <c r="H4" s="22">
        <v>124</v>
      </c>
      <c r="I4" s="22">
        <v>210</v>
      </c>
      <c r="J4" s="22"/>
      <c r="K4" s="22"/>
      <c r="L4" s="22"/>
      <c r="M4" s="22"/>
      <c r="N4" s="22"/>
    </row>
    <row r="5" spans="3:14" x14ac:dyDescent="0.35">
      <c r="C5" t="s">
        <v>18</v>
      </c>
      <c r="D5" s="22">
        <v>4</v>
      </c>
      <c r="E5" s="22">
        <v>8</v>
      </c>
      <c r="F5" s="22">
        <v>13.83</v>
      </c>
      <c r="G5" s="22">
        <v>29</v>
      </c>
      <c r="H5" s="22">
        <v>72</v>
      </c>
      <c r="I5" s="22">
        <v>128</v>
      </c>
      <c r="J5" s="22"/>
      <c r="K5" s="22"/>
      <c r="L5" s="22"/>
      <c r="M5" s="22"/>
      <c r="N5" s="22"/>
    </row>
    <row r="6" spans="3:14" x14ac:dyDescent="0.35">
      <c r="C6" t="s">
        <v>27</v>
      </c>
      <c r="D6" s="22">
        <v>1</v>
      </c>
      <c r="E6" s="22">
        <v>1</v>
      </c>
      <c r="F6" s="22">
        <v>0.36399999999999999</v>
      </c>
      <c r="G6" s="22">
        <v>0.39700000000000002</v>
      </c>
      <c r="H6" s="22">
        <v>0.66700000000000004</v>
      </c>
      <c r="I6" s="22">
        <v>0.81</v>
      </c>
      <c r="J6" s="22"/>
      <c r="K6" s="22"/>
      <c r="L6" s="22"/>
      <c r="M6" s="22"/>
      <c r="N6" s="22"/>
    </row>
    <row r="7" spans="3:14" x14ac:dyDescent="0.35">
      <c r="C7" t="s">
        <v>28</v>
      </c>
      <c r="D7" s="22">
        <v>1</v>
      </c>
      <c r="E7" s="22">
        <v>0.8</v>
      </c>
      <c r="F7" s="22">
        <v>0.374</v>
      </c>
      <c r="G7" s="22">
        <v>0.52700000000000002</v>
      </c>
      <c r="H7" s="22">
        <v>0.58099999999999996</v>
      </c>
      <c r="I7" s="22">
        <v>0.61</v>
      </c>
      <c r="J7" s="22"/>
      <c r="K7" s="22"/>
      <c r="L7" s="22"/>
      <c r="M7" s="22"/>
      <c r="N7" s="22"/>
    </row>
    <row r="8" spans="3:14" x14ac:dyDescent="0.35">
      <c r="C8" t="s">
        <v>29</v>
      </c>
      <c r="D8" s="1">
        <v>0.03</v>
      </c>
      <c r="E8" s="1">
        <v>0.05</v>
      </c>
      <c r="F8" s="1">
        <v>0.09</v>
      </c>
      <c r="G8" s="1">
        <v>0.184</v>
      </c>
      <c r="H8" s="1">
        <v>0.45600000000000002</v>
      </c>
      <c r="I8" s="1">
        <v>0.81</v>
      </c>
      <c r="J8" s="1"/>
      <c r="K8" s="1"/>
      <c r="L8" s="1"/>
      <c r="M8" s="1"/>
      <c r="N8" s="1"/>
    </row>
    <row r="32" spans="4:14" x14ac:dyDescent="0.35">
      <c r="D32" s="43" t="s">
        <v>98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4:14" x14ac:dyDescent="0.35">
      <c r="D33" s="43" t="s">
        <v>99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4:14" x14ac:dyDescent="0.35">
      <c r="D34" s="43" t="s">
        <v>100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4:14" x14ac:dyDescent="0.35">
      <c r="D35" s="43" t="s">
        <v>101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4:14" x14ac:dyDescent="0.35">
      <c r="D36" s="43" t="s">
        <v>102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4:14" x14ac:dyDescent="0.35">
      <c r="D37" s="43" t="s">
        <v>103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4:14" x14ac:dyDescent="0.35">
      <c r="D38" s="43" t="s">
        <v>104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4:14" x14ac:dyDescent="0.35">
      <c r="D39" s="44" t="s">
        <v>105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4:14" x14ac:dyDescent="0.35"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5772-CE59-4028-94D1-54F2C908E318}">
  <dimension ref="A1:AB49"/>
  <sheetViews>
    <sheetView topLeftCell="A25" workbookViewId="0">
      <selection activeCell="R2" sqref="R2:R12"/>
    </sheetView>
  </sheetViews>
  <sheetFormatPr defaultRowHeight="14.5" x14ac:dyDescent="0.35"/>
  <cols>
    <col min="1" max="1" width="22" customWidth="1"/>
    <col min="2" max="2" width="15.08984375" customWidth="1"/>
    <col min="3" max="3" width="13.6328125" customWidth="1"/>
    <col min="6" max="6" width="13.36328125" customWidth="1"/>
    <col min="7" max="7" width="11.08984375" customWidth="1"/>
    <col min="8" max="8" width="17.54296875" bestFit="1" customWidth="1"/>
    <col min="9" max="9" width="9.81640625" customWidth="1"/>
    <col min="10" max="10" width="9.08984375" customWidth="1"/>
    <col min="11" max="11" width="15.453125" customWidth="1"/>
    <col min="14" max="14" width="9.08984375" customWidth="1"/>
    <col min="15" max="15" width="18.36328125" customWidth="1"/>
    <col min="19" max="19" width="20" customWidth="1"/>
    <col min="23" max="23" width="9.453125" customWidth="1"/>
    <col min="27" max="27" width="11.81640625" customWidth="1"/>
  </cols>
  <sheetData>
    <row r="1" spans="1:20" ht="15" thickBot="1" x14ac:dyDescent="0.4">
      <c r="A1" s="33" t="s">
        <v>40</v>
      </c>
      <c r="B1" s="33" t="s">
        <v>41</v>
      </c>
      <c r="C1" s="33" t="s">
        <v>42</v>
      </c>
      <c r="D1" s="33" t="s">
        <v>43</v>
      </c>
      <c r="E1" s="33" t="s">
        <v>44</v>
      </c>
      <c r="F1" s="33" t="s">
        <v>45</v>
      </c>
      <c r="G1" s="33" t="s">
        <v>66</v>
      </c>
      <c r="H1" s="33" t="s">
        <v>67</v>
      </c>
      <c r="J1" s="26" t="s">
        <v>0</v>
      </c>
      <c r="K1" s="26" t="s">
        <v>2</v>
      </c>
      <c r="L1" s="26" t="s">
        <v>5</v>
      </c>
      <c r="M1" s="26" t="s">
        <v>3</v>
      </c>
      <c r="N1" s="26" t="s">
        <v>4</v>
      </c>
      <c r="O1" s="2" t="s">
        <v>0</v>
      </c>
      <c r="P1" s="3" t="s">
        <v>1</v>
      </c>
      <c r="Q1" s="4" t="s">
        <v>2</v>
      </c>
      <c r="R1" s="45" t="s">
        <v>106</v>
      </c>
    </row>
    <row r="2" spans="1:20" x14ac:dyDescent="0.35">
      <c r="A2" s="34" t="s">
        <v>46</v>
      </c>
      <c r="B2" s="34" t="s">
        <v>57</v>
      </c>
      <c r="C2" s="34">
        <v>11</v>
      </c>
      <c r="D2" s="34">
        <v>12</v>
      </c>
      <c r="E2" s="34">
        <v>13</v>
      </c>
      <c r="F2" s="35">
        <f>(C2+(4*D2)+E2)/6</f>
        <v>12</v>
      </c>
      <c r="G2" s="36">
        <f>(E2-C2)/6</f>
        <v>0.33333333333333331</v>
      </c>
      <c r="H2" s="36">
        <f>G2^2</f>
        <v>0.1111111111111111</v>
      </c>
      <c r="J2" s="27">
        <v>0</v>
      </c>
      <c r="K2" s="28">
        <f>J2+L2</f>
        <v>12</v>
      </c>
      <c r="L2" s="28">
        <f>F2</f>
        <v>12</v>
      </c>
      <c r="M2" s="27">
        <v>0</v>
      </c>
      <c r="N2" s="27">
        <v>12</v>
      </c>
      <c r="O2" s="5"/>
      <c r="P2" s="6"/>
      <c r="Q2" s="7"/>
      <c r="R2">
        <f>M2-J2</f>
        <v>0</v>
      </c>
    </row>
    <row r="3" spans="1:20" ht="15" thickBot="1" x14ac:dyDescent="0.4">
      <c r="A3" s="37" t="s">
        <v>47</v>
      </c>
      <c r="B3" s="37" t="s">
        <v>58</v>
      </c>
      <c r="C3" s="37">
        <v>4</v>
      </c>
      <c r="D3" s="37">
        <v>6</v>
      </c>
      <c r="E3" s="37">
        <v>11</v>
      </c>
      <c r="F3" s="38">
        <f t="shared" ref="F3:F12" si="0">(C3+(4*D3)+E3)/6</f>
        <v>6.5</v>
      </c>
      <c r="G3" s="39">
        <f t="shared" ref="G3:G12" si="1">(E3-C3)/6</f>
        <v>1.1666666666666667</v>
      </c>
      <c r="H3" s="39">
        <f t="shared" ref="H3:H12" si="2">G3^2</f>
        <v>1.3611111111111114</v>
      </c>
      <c r="J3" s="27">
        <v>12</v>
      </c>
      <c r="K3" s="27">
        <f>12+7</f>
        <v>19</v>
      </c>
      <c r="L3" s="28">
        <f t="shared" ref="L3:L12" si="3">F3</f>
        <v>6.5</v>
      </c>
      <c r="M3" s="27">
        <f>21-7</f>
        <v>14</v>
      </c>
      <c r="N3" s="27">
        <v>21</v>
      </c>
      <c r="O3" s="8" t="s">
        <v>3</v>
      </c>
      <c r="P3" s="9" t="s">
        <v>5</v>
      </c>
      <c r="Q3" s="10" t="s">
        <v>4</v>
      </c>
      <c r="R3">
        <f t="shared" ref="R3:R12" si="4">M3-J3</f>
        <v>2</v>
      </c>
    </row>
    <row r="4" spans="1:20" x14ac:dyDescent="0.35">
      <c r="A4" s="37" t="s">
        <v>48</v>
      </c>
      <c r="B4" s="37" t="s">
        <v>57</v>
      </c>
      <c r="C4" s="37">
        <v>12</v>
      </c>
      <c r="D4" s="37">
        <v>15</v>
      </c>
      <c r="E4" s="37">
        <v>30</v>
      </c>
      <c r="F4" s="38">
        <f t="shared" si="0"/>
        <v>17</v>
      </c>
      <c r="G4" s="39">
        <f t="shared" si="1"/>
        <v>3</v>
      </c>
      <c r="H4" s="39">
        <f t="shared" si="2"/>
        <v>9</v>
      </c>
      <c r="J4" s="27">
        <v>0</v>
      </c>
      <c r="K4" s="27">
        <v>17</v>
      </c>
      <c r="L4" s="28">
        <f t="shared" si="3"/>
        <v>17</v>
      </c>
      <c r="M4" s="27">
        <f>21-17</f>
        <v>4</v>
      </c>
      <c r="N4" s="27">
        <v>21</v>
      </c>
      <c r="R4">
        <f t="shared" si="4"/>
        <v>4</v>
      </c>
    </row>
    <row r="5" spans="1:20" x14ac:dyDescent="0.35">
      <c r="A5" s="37" t="s">
        <v>49</v>
      </c>
      <c r="B5" s="37" t="s">
        <v>59</v>
      </c>
      <c r="C5" s="37">
        <v>12</v>
      </c>
      <c r="D5" s="37">
        <v>15</v>
      </c>
      <c r="E5" s="37">
        <v>20</v>
      </c>
      <c r="F5" s="38">
        <f t="shared" si="0"/>
        <v>15.333333333333334</v>
      </c>
      <c r="G5" s="39">
        <f t="shared" si="1"/>
        <v>1.3333333333333333</v>
      </c>
      <c r="H5" s="39">
        <f t="shared" si="2"/>
        <v>1.7777777777777777</v>
      </c>
      <c r="J5" s="27">
        <v>19</v>
      </c>
      <c r="K5" s="27">
        <f>19+15</f>
        <v>34</v>
      </c>
      <c r="L5" s="28">
        <f t="shared" si="3"/>
        <v>15.333333333333334</v>
      </c>
      <c r="M5" s="27">
        <f>36-15</f>
        <v>21</v>
      </c>
      <c r="N5" s="27">
        <v>36</v>
      </c>
      <c r="R5">
        <f t="shared" si="4"/>
        <v>2</v>
      </c>
    </row>
    <row r="6" spans="1:20" x14ac:dyDescent="0.35">
      <c r="A6" s="37" t="s">
        <v>50</v>
      </c>
      <c r="B6" s="37" t="s">
        <v>58</v>
      </c>
      <c r="C6" s="37">
        <v>7</v>
      </c>
      <c r="D6" s="37">
        <v>12</v>
      </c>
      <c r="E6" s="37">
        <v>22</v>
      </c>
      <c r="F6" s="38">
        <f t="shared" si="0"/>
        <v>12.833333333333334</v>
      </c>
      <c r="G6" s="39">
        <f t="shared" si="1"/>
        <v>2.5</v>
      </c>
      <c r="H6" s="39">
        <f t="shared" si="2"/>
        <v>6.25</v>
      </c>
      <c r="J6" s="27">
        <v>12</v>
      </c>
      <c r="K6" s="27">
        <f>12+13</f>
        <v>25</v>
      </c>
      <c r="L6" s="28">
        <f t="shared" si="3"/>
        <v>12.833333333333334</v>
      </c>
      <c r="M6" s="27">
        <f>25-13</f>
        <v>12</v>
      </c>
      <c r="N6" s="27">
        <v>25</v>
      </c>
      <c r="R6">
        <f t="shared" si="4"/>
        <v>0</v>
      </c>
    </row>
    <row r="7" spans="1:20" x14ac:dyDescent="0.35">
      <c r="A7" s="37" t="s">
        <v>51</v>
      </c>
      <c r="B7" s="37" t="s">
        <v>60</v>
      </c>
      <c r="C7" s="37">
        <v>2</v>
      </c>
      <c r="D7" s="37">
        <v>17</v>
      </c>
      <c r="E7" s="37">
        <v>19</v>
      </c>
      <c r="F7" s="38">
        <f t="shared" si="0"/>
        <v>14.833333333333334</v>
      </c>
      <c r="G7" s="39">
        <f t="shared" si="1"/>
        <v>2.8333333333333335</v>
      </c>
      <c r="H7" s="39">
        <f t="shared" si="2"/>
        <v>8.0277777777777786</v>
      </c>
      <c r="J7" s="27">
        <v>25</v>
      </c>
      <c r="K7" s="27">
        <f>25+15</f>
        <v>40</v>
      </c>
      <c r="L7" s="28">
        <f t="shared" si="3"/>
        <v>14.833333333333334</v>
      </c>
      <c r="M7" s="27">
        <f>40-15</f>
        <v>25</v>
      </c>
      <c r="N7" s="27">
        <v>40</v>
      </c>
      <c r="R7">
        <f t="shared" si="4"/>
        <v>0</v>
      </c>
    </row>
    <row r="8" spans="1:20" x14ac:dyDescent="0.35">
      <c r="A8" s="37" t="s">
        <v>52</v>
      </c>
      <c r="B8" s="37" t="s">
        <v>61</v>
      </c>
      <c r="C8" s="37">
        <v>13</v>
      </c>
      <c r="D8" s="37">
        <v>17</v>
      </c>
      <c r="E8" s="37">
        <v>19</v>
      </c>
      <c r="F8" s="38">
        <f t="shared" si="0"/>
        <v>16.666666666666668</v>
      </c>
      <c r="G8" s="39">
        <f t="shared" si="1"/>
        <v>1</v>
      </c>
      <c r="H8" s="39">
        <f t="shared" si="2"/>
        <v>1</v>
      </c>
      <c r="J8" s="27">
        <v>34</v>
      </c>
      <c r="K8" s="27">
        <f>34+17</f>
        <v>51</v>
      </c>
      <c r="L8" s="28">
        <f t="shared" si="3"/>
        <v>16.666666666666668</v>
      </c>
      <c r="M8" s="27">
        <f>53-17</f>
        <v>36</v>
      </c>
      <c r="N8" s="27">
        <v>53</v>
      </c>
      <c r="R8">
        <f t="shared" si="4"/>
        <v>2</v>
      </c>
    </row>
    <row r="9" spans="1:20" x14ac:dyDescent="0.35">
      <c r="A9" s="37" t="s">
        <v>53</v>
      </c>
      <c r="B9" s="37" t="s">
        <v>62</v>
      </c>
      <c r="C9" s="37">
        <v>9</v>
      </c>
      <c r="D9" s="37">
        <v>14</v>
      </c>
      <c r="E9" s="37">
        <v>19</v>
      </c>
      <c r="F9" s="38">
        <f t="shared" si="0"/>
        <v>14</v>
      </c>
      <c r="G9" s="39">
        <f t="shared" si="1"/>
        <v>1.6666666666666667</v>
      </c>
      <c r="H9" s="39">
        <f t="shared" si="2"/>
        <v>2.7777777777777781</v>
      </c>
      <c r="J9" s="27">
        <v>40</v>
      </c>
      <c r="K9" s="27">
        <f>40+14</f>
        <v>54</v>
      </c>
      <c r="L9" s="28">
        <f t="shared" si="3"/>
        <v>14</v>
      </c>
      <c r="M9" s="27">
        <f>54-14</f>
        <v>40</v>
      </c>
      <c r="N9" s="27">
        <v>54</v>
      </c>
      <c r="R9">
        <f t="shared" si="4"/>
        <v>0</v>
      </c>
    </row>
    <row r="10" spans="1:20" x14ac:dyDescent="0.35">
      <c r="A10" s="37" t="s">
        <v>54</v>
      </c>
      <c r="B10" s="37" t="s">
        <v>63</v>
      </c>
      <c r="C10" s="37">
        <v>11</v>
      </c>
      <c r="D10" s="37">
        <v>13</v>
      </c>
      <c r="E10" s="37">
        <v>20</v>
      </c>
      <c r="F10" s="38">
        <f t="shared" si="0"/>
        <v>13.833333333333334</v>
      </c>
      <c r="G10" s="39">
        <f t="shared" si="1"/>
        <v>1.5</v>
      </c>
      <c r="H10" s="39">
        <f t="shared" si="2"/>
        <v>2.25</v>
      </c>
      <c r="J10" s="27">
        <v>51</v>
      </c>
      <c r="K10" s="27">
        <f>51+14</f>
        <v>65</v>
      </c>
      <c r="L10" s="28">
        <f t="shared" si="3"/>
        <v>13.833333333333334</v>
      </c>
      <c r="M10" s="27">
        <f>67-14</f>
        <v>53</v>
      </c>
      <c r="N10" s="27">
        <v>67</v>
      </c>
      <c r="R10">
        <f t="shared" si="4"/>
        <v>2</v>
      </c>
    </row>
    <row r="11" spans="1:20" x14ac:dyDescent="0.35">
      <c r="A11" s="37" t="s">
        <v>55</v>
      </c>
      <c r="B11" s="37" t="s">
        <v>64</v>
      </c>
      <c r="C11" s="37">
        <v>12</v>
      </c>
      <c r="D11" s="37">
        <v>13</v>
      </c>
      <c r="E11" s="37">
        <v>16</v>
      </c>
      <c r="F11" s="38">
        <f t="shared" si="0"/>
        <v>13.333333333333334</v>
      </c>
      <c r="G11" s="39">
        <f t="shared" si="1"/>
        <v>0.66666666666666663</v>
      </c>
      <c r="H11" s="39">
        <f t="shared" si="2"/>
        <v>0.44444444444444442</v>
      </c>
      <c r="J11" s="27">
        <v>54</v>
      </c>
      <c r="K11" s="27">
        <f>54+13</f>
        <v>67</v>
      </c>
      <c r="L11" s="28">
        <f t="shared" si="3"/>
        <v>13.333333333333334</v>
      </c>
      <c r="M11" s="27">
        <f>67-13</f>
        <v>54</v>
      </c>
      <c r="N11" s="27">
        <v>67</v>
      </c>
      <c r="R11">
        <f t="shared" si="4"/>
        <v>0</v>
      </c>
    </row>
    <row r="12" spans="1:20" ht="15" thickBot="1" x14ac:dyDescent="0.4">
      <c r="A12" s="40" t="s">
        <v>56</v>
      </c>
      <c r="B12" s="40" t="s">
        <v>65</v>
      </c>
      <c r="C12" s="40">
        <v>9</v>
      </c>
      <c r="D12" s="40">
        <v>13</v>
      </c>
      <c r="E12" s="40">
        <v>23</v>
      </c>
      <c r="F12" s="41">
        <f t="shared" si="0"/>
        <v>14</v>
      </c>
      <c r="G12" s="42">
        <f t="shared" si="1"/>
        <v>2.3333333333333335</v>
      </c>
      <c r="H12" s="42">
        <f t="shared" si="2"/>
        <v>5.4444444444444455</v>
      </c>
      <c r="J12" s="27">
        <v>67</v>
      </c>
      <c r="K12" s="27">
        <f>67+14</f>
        <v>81</v>
      </c>
      <c r="L12" s="28">
        <f t="shared" si="3"/>
        <v>14</v>
      </c>
      <c r="M12" s="27">
        <f>81-14</f>
        <v>67</v>
      </c>
      <c r="N12" s="27">
        <v>81</v>
      </c>
      <c r="R12">
        <f t="shared" si="4"/>
        <v>0</v>
      </c>
    </row>
    <row r="13" spans="1:20" ht="15" thickBot="1" x14ac:dyDescent="0.4"/>
    <row r="14" spans="1:20" x14ac:dyDescent="0.35">
      <c r="A14" s="32" t="s">
        <v>90</v>
      </c>
      <c r="R14" s="2">
        <v>51</v>
      </c>
      <c r="S14" s="3" t="s">
        <v>82</v>
      </c>
      <c r="T14" s="4">
        <v>65</v>
      </c>
    </row>
    <row r="15" spans="1:20" ht="15" thickBot="1" x14ac:dyDescent="0.4">
      <c r="A15" s="31">
        <f>(83-81)/SQRT(SUM((H2:H12)))</f>
        <v>0.32256199834228222</v>
      </c>
      <c r="R15" s="5">
        <v>2</v>
      </c>
      <c r="S15" s="6" t="s">
        <v>83</v>
      </c>
      <c r="T15" s="7">
        <v>2</v>
      </c>
    </row>
    <row r="16" spans="1:20" ht="15" thickBot="1" x14ac:dyDescent="0.4">
      <c r="N16" s="2">
        <v>34</v>
      </c>
      <c r="O16" s="3" t="s">
        <v>76</v>
      </c>
      <c r="P16" s="4">
        <v>51</v>
      </c>
      <c r="R16" s="8">
        <v>53</v>
      </c>
      <c r="S16" s="9">
        <v>14</v>
      </c>
      <c r="T16" s="10">
        <v>67</v>
      </c>
    </row>
    <row r="17" spans="2:28" x14ac:dyDescent="0.35">
      <c r="N17" s="5">
        <v>2</v>
      </c>
      <c r="O17" s="6" t="s">
        <v>77</v>
      </c>
      <c r="P17" s="7">
        <v>2</v>
      </c>
    </row>
    <row r="18" spans="2:28" ht="15" thickBot="1" x14ac:dyDescent="0.4">
      <c r="N18" s="8">
        <v>36</v>
      </c>
      <c r="O18" s="9">
        <v>17</v>
      </c>
      <c r="P18" s="10">
        <v>53</v>
      </c>
    </row>
    <row r="20" spans="2:28" ht="15" thickBot="1" x14ac:dyDescent="0.4"/>
    <row r="21" spans="2:28" x14ac:dyDescent="0.35">
      <c r="B21" s="2">
        <v>0</v>
      </c>
      <c r="C21" s="3" t="s">
        <v>72</v>
      </c>
      <c r="D21" s="4">
        <v>17</v>
      </c>
    </row>
    <row r="22" spans="2:28" ht="15" thickBot="1" x14ac:dyDescent="0.4">
      <c r="B22" s="5">
        <v>4</v>
      </c>
      <c r="C22" s="6" t="s">
        <v>73</v>
      </c>
      <c r="D22" s="7">
        <v>4</v>
      </c>
    </row>
    <row r="23" spans="2:28" ht="15" thickBot="1" x14ac:dyDescent="0.4">
      <c r="B23" s="8">
        <v>4</v>
      </c>
      <c r="C23" s="9">
        <v>17</v>
      </c>
      <c r="D23" s="10">
        <v>21</v>
      </c>
      <c r="J23" s="2">
        <v>19</v>
      </c>
      <c r="K23" s="3" t="s">
        <v>74</v>
      </c>
      <c r="L23" s="4">
        <v>34</v>
      </c>
      <c r="Z23" s="2">
        <v>67</v>
      </c>
      <c r="AA23" s="3" t="s">
        <v>84</v>
      </c>
      <c r="AB23" s="4">
        <v>81</v>
      </c>
    </row>
    <row r="24" spans="2:28" x14ac:dyDescent="0.35">
      <c r="J24" s="5">
        <v>2</v>
      </c>
      <c r="K24" s="6" t="s">
        <v>75</v>
      </c>
      <c r="L24" s="7">
        <v>2</v>
      </c>
      <c r="Z24" s="5">
        <v>0</v>
      </c>
      <c r="AA24" s="6" t="s">
        <v>87</v>
      </c>
      <c r="AB24" s="7">
        <v>0</v>
      </c>
    </row>
    <row r="25" spans="2:28" ht="15" thickBot="1" x14ac:dyDescent="0.4">
      <c r="J25" s="8">
        <v>21</v>
      </c>
      <c r="K25" s="9">
        <v>15</v>
      </c>
      <c r="L25" s="10">
        <v>36</v>
      </c>
      <c r="Z25" s="8">
        <v>67</v>
      </c>
      <c r="AA25" s="9">
        <v>14</v>
      </c>
      <c r="AB25" s="10">
        <v>81</v>
      </c>
    </row>
    <row r="26" spans="2:28" ht="15" thickBot="1" x14ac:dyDescent="0.4"/>
    <row r="27" spans="2:28" x14ac:dyDescent="0.35">
      <c r="V27" s="2">
        <v>54</v>
      </c>
      <c r="W27" s="3" t="s">
        <v>85</v>
      </c>
      <c r="X27" s="4">
        <v>67</v>
      </c>
    </row>
    <row r="28" spans="2:28" x14ac:dyDescent="0.35">
      <c r="V28" s="5">
        <v>0</v>
      </c>
      <c r="W28" s="6" t="s">
        <v>86</v>
      </c>
      <c r="X28" s="7">
        <v>0</v>
      </c>
    </row>
    <row r="29" spans="2:28" ht="15" thickBot="1" x14ac:dyDescent="0.4">
      <c r="V29" s="8">
        <v>54</v>
      </c>
      <c r="W29" s="9">
        <v>13</v>
      </c>
      <c r="X29" s="10">
        <v>67</v>
      </c>
    </row>
    <row r="30" spans="2:28" x14ac:dyDescent="0.35">
      <c r="F30" s="2">
        <v>12</v>
      </c>
      <c r="G30" s="3" t="s">
        <v>69</v>
      </c>
      <c r="H30" s="4">
        <v>19</v>
      </c>
    </row>
    <row r="31" spans="2:28" x14ac:dyDescent="0.35">
      <c r="F31" s="5">
        <v>2</v>
      </c>
      <c r="G31" s="6" t="s">
        <v>70</v>
      </c>
      <c r="H31" s="7">
        <v>2</v>
      </c>
    </row>
    <row r="32" spans="2:28" ht="15" thickBot="1" x14ac:dyDescent="0.4">
      <c r="F32" s="8">
        <v>14</v>
      </c>
      <c r="G32" s="9">
        <v>7</v>
      </c>
      <c r="H32" s="10">
        <v>21</v>
      </c>
    </row>
    <row r="33" spans="1:16" ht="15" thickBot="1" x14ac:dyDescent="0.4"/>
    <row r="34" spans="1:16" x14ac:dyDescent="0.35">
      <c r="B34" s="2">
        <v>0</v>
      </c>
      <c r="C34" s="3" t="s">
        <v>58</v>
      </c>
      <c r="D34" s="4">
        <v>12</v>
      </c>
      <c r="F34" s="2">
        <v>12</v>
      </c>
      <c r="G34" s="3" t="s">
        <v>60</v>
      </c>
      <c r="H34" s="4">
        <v>25</v>
      </c>
      <c r="N34" s="2">
        <v>40</v>
      </c>
      <c r="O34" s="3" t="s">
        <v>78</v>
      </c>
      <c r="P34" s="4">
        <v>54</v>
      </c>
    </row>
    <row r="35" spans="1:16" x14ac:dyDescent="0.35">
      <c r="B35" s="5">
        <v>0</v>
      </c>
      <c r="C35" s="6" t="s">
        <v>68</v>
      </c>
      <c r="D35" s="7">
        <v>0</v>
      </c>
      <c r="F35" s="5">
        <v>0</v>
      </c>
      <c r="G35" s="6" t="s">
        <v>71</v>
      </c>
      <c r="H35" s="7">
        <v>0</v>
      </c>
      <c r="N35" s="5">
        <v>0</v>
      </c>
      <c r="O35" s="6" t="s">
        <v>79</v>
      </c>
      <c r="P35" s="7">
        <v>0</v>
      </c>
    </row>
    <row r="36" spans="1:16" ht="15" thickBot="1" x14ac:dyDescent="0.4">
      <c r="B36" s="8">
        <v>0</v>
      </c>
      <c r="C36" s="9">
        <v>12</v>
      </c>
      <c r="D36" s="10">
        <v>12</v>
      </c>
      <c r="F36" s="8">
        <v>12</v>
      </c>
      <c r="G36" s="9">
        <v>13</v>
      </c>
      <c r="H36" s="10">
        <v>25</v>
      </c>
      <c r="N36" s="8">
        <v>40</v>
      </c>
      <c r="O36" s="9">
        <v>14</v>
      </c>
      <c r="P36" s="10">
        <v>54</v>
      </c>
    </row>
    <row r="38" spans="1:16" ht="15" thickBot="1" x14ac:dyDescent="0.4"/>
    <row r="39" spans="1:16" x14ac:dyDescent="0.35">
      <c r="J39" s="2">
        <v>25</v>
      </c>
      <c r="K39" s="3" t="s">
        <v>80</v>
      </c>
      <c r="L39" s="4">
        <v>40</v>
      </c>
    </row>
    <row r="40" spans="1:16" x14ac:dyDescent="0.35">
      <c r="J40" s="5">
        <v>0</v>
      </c>
      <c r="K40" s="6" t="s">
        <v>81</v>
      </c>
      <c r="L40" s="7">
        <v>0</v>
      </c>
    </row>
    <row r="41" spans="1:16" ht="15" thickBot="1" x14ac:dyDescent="0.4">
      <c r="A41" s="30" t="s">
        <v>88</v>
      </c>
      <c r="J41" s="8">
        <v>25</v>
      </c>
      <c r="K41" s="9">
        <v>15</v>
      </c>
      <c r="L41" s="10">
        <v>40</v>
      </c>
    </row>
    <row r="42" spans="1:16" x14ac:dyDescent="0.35">
      <c r="A42" s="29" t="s">
        <v>92</v>
      </c>
      <c r="B42" s="29"/>
      <c r="C42" s="29"/>
      <c r="D42" s="29"/>
      <c r="E42" s="29"/>
      <c r="F42" s="29"/>
      <c r="G42" s="29"/>
      <c r="H42" s="29"/>
      <c r="I42" s="29"/>
      <c r="J42" s="29"/>
    </row>
    <row r="43" spans="1:16" x14ac:dyDescent="0.35">
      <c r="A43" s="29" t="s">
        <v>93</v>
      </c>
      <c r="B43" s="29"/>
      <c r="C43" s="29"/>
      <c r="D43" s="29"/>
      <c r="E43" s="29"/>
      <c r="F43" s="29"/>
      <c r="G43" s="29"/>
      <c r="H43" s="29"/>
      <c r="I43" s="29"/>
      <c r="J43" s="29"/>
    </row>
    <row r="44" spans="1:16" x14ac:dyDescent="0.35">
      <c r="A44" s="29" t="s">
        <v>94</v>
      </c>
      <c r="B44" s="29"/>
      <c r="C44" s="29"/>
      <c r="D44" s="29"/>
      <c r="E44" s="29"/>
      <c r="F44" s="29"/>
      <c r="G44" s="29"/>
      <c r="H44" s="29"/>
      <c r="I44" s="29"/>
      <c r="J44" s="29"/>
    </row>
    <row r="45" spans="1:16" x14ac:dyDescent="0.35">
      <c r="A45" s="29" t="s">
        <v>95</v>
      </c>
      <c r="B45" s="29"/>
      <c r="C45" s="29"/>
      <c r="D45" s="29"/>
      <c r="E45" s="29"/>
      <c r="F45" s="29"/>
      <c r="G45" s="29"/>
      <c r="H45" s="29"/>
      <c r="I45" s="29"/>
      <c r="J45" s="29"/>
    </row>
    <row r="46" spans="1:16" x14ac:dyDescent="0.35">
      <c r="A46" s="29" t="s">
        <v>89</v>
      </c>
      <c r="B46" s="29"/>
      <c r="C46" s="29"/>
      <c r="D46" s="29"/>
      <c r="E46" s="29"/>
      <c r="F46" s="29"/>
      <c r="G46" s="29"/>
      <c r="H46" s="29"/>
      <c r="I46" s="29"/>
      <c r="J46" s="29"/>
    </row>
    <row r="47" spans="1:16" x14ac:dyDescent="0.35">
      <c r="A47" s="29" t="s">
        <v>96</v>
      </c>
      <c r="B47" s="29"/>
      <c r="C47" s="29"/>
      <c r="D47" s="29"/>
      <c r="E47" s="29"/>
      <c r="F47" s="29"/>
      <c r="G47" s="29"/>
      <c r="H47" s="29"/>
      <c r="I47" s="29"/>
      <c r="J47" s="29"/>
    </row>
    <row r="48" spans="1:16" x14ac:dyDescent="0.35">
      <c r="A48" s="29" t="s">
        <v>97</v>
      </c>
      <c r="B48" s="29"/>
      <c r="C48" s="29"/>
      <c r="D48" s="29"/>
      <c r="E48" s="29"/>
      <c r="F48" s="29"/>
      <c r="G48" s="29"/>
      <c r="H48" s="29"/>
      <c r="I48" s="29"/>
      <c r="J48" s="29"/>
    </row>
    <row r="49" spans="1:10" x14ac:dyDescent="0.35">
      <c r="A49" s="29" t="s">
        <v>91</v>
      </c>
      <c r="B49" s="29"/>
      <c r="C49" s="29"/>
      <c r="D49" s="29"/>
      <c r="E49" s="29"/>
      <c r="F49" s="29"/>
      <c r="G49" s="29"/>
      <c r="H49" s="29"/>
      <c r="I49" s="29"/>
      <c r="J49" s="29"/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network</vt:lpstr>
      <vt:lpstr>Q1 PV plan</vt:lpstr>
      <vt:lpstr>Q1 status report</vt:lpstr>
      <vt:lpstr>Q1 indices table</vt:lpstr>
      <vt:lpstr>Q1 summary graph</vt:lpstr>
      <vt:lpstr>Q2 Network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Megan Da Costa</cp:lastModifiedBy>
  <dcterms:created xsi:type="dcterms:W3CDTF">2015-12-31T18:42:27Z</dcterms:created>
  <dcterms:modified xsi:type="dcterms:W3CDTF">2022-03-05T00:59:05Z</dcterms:modified>
</cp:coreProperties>
</file>