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dbe9802d1fb1f64/Documents/"/>
    </mc:Choice>
  </mc:AlternateContent>
  <xr:revisionPtr revIDLastSave="0" documentId="8_{8EC60DEF-4F84-470E-A95C-1C67188ACA9A}" xr6:coauthVersionLast="47" xr6:coauthVersionMax="47" xr10:uidLastSave="{00000000-0000-0000-0000-000000000000}"/>
  <bookViews>
    <workbookView xWindow="10450" yWindow="1190" windowWidth="14460" windowHeight="10940" xr2:uid="{75965462-7F32-4434-B80C-F44B422AA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1" l="1"/>
  <c r="I8" i="1"/>
  <c r="I17" i="1"/>
  <c r="I16" i="1"/>
  <c r="I15" i="1"/>
  <c r="I14" i="1"/>
  <c r="I13" i="1"/>
  <c r="I4" i="1"/>
  <c r="I5" i="1"/>
  <c r="I6" i="1"/>
  <c r="I7" i="1"/>
  <c r="I3" i="1"/>
  <c r="D13" i="1"/>
  <c r="D5" i="1"/>
  <c r="D6" i="1"/>
  <c r="D7" i="1"/>
  <c r="D8" i="1"/>
  <c r="D9" i="1"/>
  <c r="D10" i="1"/>
  <c r="D11" i="1"/>
  <c r="D12" i="1"/>
  <c r="D4" i="1"/>
  <c r="B6" i="1"/>
  <c r="B7" i="1"/>
  <c r="B8" i="1"/>
  <c r="B9" i="1"/>
  <c r="B10" i="1"/>
  <c r="B11" i="1"/>
  <c r="B12" i="1"/>
  <c r="B5" i="1"/>
  <c r="B4" i="1"/>
  <c r="C4" i="1"/>
  <c r="C5" i="1"/>
  <c r="C6" i="1"/>
  <c r="C7" i="1"/>
  <c r="C8" i="1"/>
  <c r="C9" i="1"/>
  <c r="C10" i="1"/>
  <c r="C11" i="1"/>
  <c r="C12" i="1"/>
  <c r="C3" i="1"/>
</calcChain>
</file>

<file path=xl/sharedStrings.xml><?xml version="1.0" encoding="utf-8"?>
<sst xmlns="http://schemas.openxmlformats.org/spreadsheetml/2006/main" count="30" uniqueCount="19">
  <si>
    <t>Year</t>
  </si>
  <si>
    <t>Chemical Plant Upgrade</t>
  </si>
  <si>
    <t>Net Cash Flow</t>
  </si>
  <si>
    <t>Discount Factor</t>
  </si>
  <si>
    <t>NPV</t>
  </si>
  <si>
    <t>(5 000 000)</t>
  </si>
  <si>
    <t>Total</t>
  </si>
  <si>
    <t>Category</t>
  </si>
  <si>
    <t>Importance</t>
  </si>
  <si>
    <t>Score</t>
  </si>
  <si>
    <t>Weighted Score</t>
  </si>
  <si>
    <t>Project Grad Club</t>
  </si>
  <si>
    <t>Strategic Fit</t>
  </si>
  <si>
    <t>Probability of Technical Success</t>
  </si>
  <si>
    <t>Financial Risk</t>
  </si>
  <si>
    <t>Potential Profit</t>
  </si>
  <si>
    <t>Strategic Leverage</t>
  </si>
  <si>
    <t>Project the Spoke</t>
  </si>
  <si>
    <t>Free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</si>
</sst>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70" fontId="0" fillId="0" borderId="5" xfId="0" applyNumberFormat="1" applyBorder="1" applyAlignment="1">
      <alignment horizontal="center"/>
    </xf>
    <xf numFmtId="170" fontId="0" fillId="0" borderId="6" xfId="0" applyNumberFormat="1" applyBorder="1" applyAlignment="1">
      <alignment horizontal="center"/>
    </xf>
    <xf numFmtId="170" fontId="0" fillId="0" borderId="7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3" borderId="1" xfId="0" applyFill="1" applyBorder="1" applyAlignment="1">
      <alignment horizontal="center"/>
    </xf>
    <xf numFmtId="2" fontId="1" fillId="2" borderId="0" xfId="0" applyNumberFormat="1" applyFont="1" applyFill="1"/>
    <xf numFmtId="0" fontId="0" fillId="4" borderId="8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0" fillId="0" borderId="5" xfId="0" applyBorder="1"/>
    <xf numFmtId="0" fontId="0" fillId="0" borderId="6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4" borderId="1" xfId="0" applyFill="1" applyBorder="1" applyAlignment="1">
      <alignment horizontal="center"/>
    </xf>
    <xf numFmtId="0" fontId="3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62DC2-AC73-420D-8F35-D974F66BE85E}">
  <dimension ref="A1:I18"/>
  <sheetViews>
    <sheetView tabSelected="1" topLeftCell="C1" workbookViewId="0">
      <selection activeCell="I22" sqref="I22"/>
    </sheetView>
  </sheetViews>
  <sheetFormatPr defaultRowHeight="14.5" x14ac:dyDescent="0.35"/>
  <cols>
    <col min="2" max="2" width="15.90625" customWidth="1"/>
    <col min="3" max="3" width="14.453125" customWidth="1"/>
    <col min="4" max="4" width="14.7265625" customWidth="1"/>
    <col min="5" max="5" width="17.453125" customWidth="1"/>
    <col min="6" max="6" width="29.1796875" customWidth="1"/>
    <col min="7" max="7" width="12.453125" customWidth="1"/>
    <col min="9" max="9" width="13.7265625" customWidth="1"/>
  </cols>
  <sheetData>
    <row r="1" spans="1:9" x14ac:dyDescent="0.35">
      <c r="A1" s="1" t="s">
        <v>1</v>
      </c>
      <c r="B1" s="2"/>
      <c r="C1" s="2"/>
      <c r="D1" s="3"/>
      <c r="F1" s="1" t="s">
        <v>11</v>
      </c>
      <c r="G1" s="2"/>
      <c r="H1" s="2"/>
      <c r="I1" s="3"/>
    </row>
    <row r="2" spans="1:9" x14ac:dyDescent="0.35">
      <c r="A2" s="14" t="s">
        <v>0</v>
      </c>
      <c r="B2" s="14" t="s">
        <v>2</v>
      </c>
      <c r="C2" s="14" t="s">
        <v>3</v>
      </c>
      <c r="D2" s="14" t="s">
        <v>4</v>
      </c>
      <c r="F2" s="16" t="s">
        <v>7</v>
      </c>
      <c r="G2" s="16" t="s">
        <v>8</v>
      </c>
      <c r="H2" s="16" t="s">
        <v>9</v>
      </c>
      <c r="I2" s="17" t="s">
        <v>10</v>
      </c>
    </row>
    <row r="3" spans="1:9" x14ac:dyDescent="0.35">
      <c r="A3" s="4">
        <v>0</v>
      </c>
      <c r="B3" s="4" t="s">
        <v>5</v>
      </c>
      <c r="C3" s="7">
        <f>1/((1+0.1+0.028)^A3)</f>
        <v>1</v>
      </c>
      <c r="D3" s="4" t="s">
        <v>5</v>
      </c>
      <c r="F3" s="21" t="s">
        <v>12</v>
      </c>
      <c r="G3" s="21">
        <v>3</v>
      </c>
      <c r="H3" s="21">
        <v>2</v>
      </c>
      <c r="I3" s="21">
        <f>G3*H3</f>
        <v>6</v>
      </c>
    </row>
    <row r="4" spans="1:9" x14ac:dyDescent="0.35">
      <c r="A4" s="5">
        <v>1</v>
      </c>
      <c r="B4" s="5">
        <f>(200000*0.65)+(1000000*0.35)</f>
        <v>480000</v>
      </c>
      <c r="C4" s="8">
        <f t="shared" ref="C4:C12" si="0">1/((1+0.1+0.028)^A4)</f>
        <v>0.88652482269503541</v>
      </c>
      <c r="D4" s="10">
        <f>B4*C4</f>
        <v>425531.91489361698</v>
      </c>
      <c r="F4" s="22" t="s">
        <v>13</v>
      </c>
      <c r="G4" s="22">
        <v>2</v>
      </c>
      <c r="H4" s="22">
        <v>2</v>
      </c>
      <c r="I4" s="22">
        <f t="shared" ref="I4:I7" si="1">G4*H4</f>
        <v>4</v>
      </c>
    </row>
    <row r="5" spans="1:9" x14ac:dyDescent="0.35">
      <c r="A5" s="5">
        <v>2</v>
      </c>
      <c r="B5" s="5">
        <f>(200000*0.65)+(1000000*0.35)</f>
        <v>480000</v>
      </c>
      <c r="C5" s="8">
        <f t="shared" si="0"/>
        <v>0.78592626125446396</v>
      </c>
      <c r="D5" s="10">
        <f t="shared" ref="D5:D12" si="2">B5*C5</f>
        <v>377244.60540214268</v>
      </c>
      <c r="F5" s="22" t="s">
        <v>14</v>
      </c>
      <c r="G5" s="22">
        <v>2</v>
      </c>
      <c r="H5" s="22">
        <v>1</v>
      </c>
      <c r="I5" s="22">
        <f t="shared" si="1"/>
        <v>2</v>
      </c>
    </row>
    <row r="6" spans="1:9" x14ac:dyDescent="0.35">
      <c r="A6" s="5">
        <v>3</v>
      </c>
      <c r="B6" s="5">
        <f t="shared" ref="B6:B12" si="3">(200000*0.65)+(1000000*0.35)</f>
        <v>480000</v>
      </c>
      <c r="C6" s="8">
        <f t="shared" si="0"/>
        <v>0.69674313940998567</v>
      </c>
      <c r="D6" s="10">
        <f t="shared" si="2"/>
        <v>334436.70691679313</v>
      </c>
      <c r="F6" s="22" t="s">
        <v>15</v>
      </c>
      <c r="G6" s="22">
        <v>3</v>
      </c>
      <c r="H6" s="22">
        <v>3</v>
      </c>
      <c r="I6" s="22">
        <f t="shared" si="1"/>
        <v>9</v>
      </c>
    </row>
    <row r="7" spans="1:9" x14ac:dyDescent="0.35">
      <c r="A7" s="5">
        <v>4</v>
      </c>
      <c r="B7" s="5">
        <f t="shared" si="3"/>
        <v>480000</v>
      </c>
      <c r="C7" s="8">
        <f t="shared" si="0"/>
        <v>0.61768008812941988</v>
      </c>
      <c r="D7" s="10">
        <f t="shared" si="2"/>
        <v>296486.44230212155</v>
      </c>
      <c r="F7" s="27" t="s">
        <v>18</v>
      </c>
      <c r="G7" s="27">
        <v>1</v>
      </c>
      <c r="H7" s="27">
        <v>1</v>
      </c>
      <c r="I7" s="27">
        <f t="shared" si="1"/>
        <v>1</v>
      </c>
    </row>
    <row r="8" spans="1:9" x14ac:dyDescent="0.35">
      <c r="A8" s="5">
        <v>5</v>
      </c>
      <c r="B8" s="5">
        <f t="shared" si="3"/>
        <v>480000</v>
      </c>
      <c r="C8" s="8">
        <f t="shared" si="0"/>
        <v>0.54758873061118785</v>
      </c>
      <c r="D8" s="10">
        <f t="shared" si="2"/>
        <v>262842.59069337015</v>
      </c>
      <c r="F8" s="18" t="s">
        <v>6</v>
      </c>
      <c r="G8" s="19"/>
      <c r="H8" s="19"/>
      <c r="I8" s="20">
        <f>SUM(I3:I6)</f>
        <v>21</v>
      </c>
    </row>
    <row r="9" spans="1:9" x14ac:dyDescent="0.35">
      <c r="A9" s="5">
        <v>6</v>
      </c>
      <c r="B9" s="5">
        <f t="shared" si="3"/>
        <v>480000</v>
      </c>
      <c r="C9" s="8">
        <f t="shared" si="0"/>
        <v>0.48545100231488281</v>
      </c>
      <c r="D9" s="10">
        <f t="shared" si="2"/>
        <v>233016.48111114374</v>
      </c>
    </row>
    <row r="10" spans="1:9" x14ac:dyDescent="0.35">
      <c r="A10" s="5">
        <v>7</v>
      </c>
      <c r="B10" s="5">
        <f t="shared" si="3"/>
        <v>480000</v>
      </c>
      <c r="C10" s="8">
        <f t="shared" si="0"/>
        <v>0.43036436375432868</v>
      </c>
      <c r="D10" s="10">
        <f t="shared" si="2"/>
        <v>206574.89460207778</v>
      </c>
    </row>
    <row r="11" spans="1:9" x14ac:dyDescent="0.35">
      <c r="A11" s="5">
        <v>8</v>
      </c>
      <c r="B11" s="5">
        <f t="shared" si="3"/>
        <v>480000</v>
      </c>
      <c r="C11" s="8">
        <f t="shared" si="0"/>
        <v>0.38152869127156797</v>
      </c>
      <c r="D11" s="10">
        <f t="shared" si="2"/>
        <v>183133.77181035263</v>
      </c>
      <c r="F11" s="1" t="s">
        <v>17</v>
      </c>
      <c r="G11" s="2"/>
      <c r="H11" s="2"/>
      <c r="I11" s="3"/>
    </row>
    <row r="12" spans="1:9" x14ac:dyDescent="0.35">
      <c r="A12" s="6">
        <v>9</v>
      </c>
      <c r="B12" s="6">
        <f t="shared" si="3"/>
        <v>480000</v>
      </c>
      <c r="C12" s="9">
        <f t="shared" si="0"/>
        <v>0.33823465538259567</v>
      </c>
      <c r="D12" s="11">
        <f t="shared" si="2"/>
        <v>162352.63458364594</v>
      </c>
      <c r="F12" s="26" t="s">
        <v>7</v>
      </c>
      <c r="G12" s="26" t="s">
        <v>8</v>
      </c>
      <c r="H12" s="26" t="s">
        <v>9</v>
      </c>
      <c r="I12" s="26" t="s">
        <v>10</v>
      </c>
    </row>
    <row r="13" spans="1:9" x14ac:dyDescent="0.35">
      <c r="A13" s="12" t="s">
        <v>6</v>
      </c>
      <c r="B13" s="13"/>
      <c r="C13" s="13"/>
      <c r="D13" s="15">
        <f>-5000000+SUM(D4:D12)</f>
        <v>-2518379.9576847353</v>
      </c>
      <c r="F13" s="22" t="s">
        <v>12</v>
      </c>
      <c r="G13" s="22">
        <v>3</v>
      </c>
      <c r="H13" s="22">
        <v>3</v>
      </c>
      <c r="I13" s="22">
        <f>G13*H13</f>
        <v>9</v>
      </c>
    </row>
    <row r="14" spans="1:9" x14ac:dyDescent="0.35">
      <c r="F14" s="22" t="s">
        <v>13</v>
      </c>
      <c r="G14" s="22">
        <v>2</v>
      </c>
      <c r="H14" s="22">
        <v>2</v>
      </c>
      <c r="I14" s="22">
        <f t="shared" ref="I14:I17" si="4">G14*H14</f>
        <v>4</v>
      </c>
    </row>
    <row r="15" spans="1:9" x14ac:dyDescent="0.35">
      <c r="F15" s="22" t="s">
        <v>14</v>
      </c>
      <c r="G15" s="22">
        <v>2</v>
      </c>
      <c r="H15" s="22">
        <v>2</v>
      </c>
      <c r="I15" s="22">
        <f t="shared" si="4"/>
        <v>4</v>
      </c>
    </row>
    <row r="16" spans="1:9" x14ac:dyDescent="0.35">
      <c r="F16" s="22" t="s">
        <v>15</v>
      </c>
      <c r="G16" s="22">
        <v>3</v>
      </c>
      <c r="H16" s="22">
        <v>3</v>
      </c>
      <c r="I16" s="22">
        <f t="shared" si="4"/>
        <v>9</v>
      </c>
    </row>
    <row r="17" spans="6:9" x14ac:dyDescent="0.35">
      <c r="F17" s="27" t="s">
        <v>16</v>
      </c>
      <c r="G17" s="27">
        <v>1</v>
      </c>
      <c r="H17" s="27">
        <v>2</v>
      </c>
      <c r="I17" s="27">
        <f t="shared" si="4"/>
        <v>2</v>
      </c>
    </row>
    <row r="18" spans="6:9" x14ac:dyDescent="0.35">
      <c r="F18" s="23" t="s">
        <v>6</v>
      </c>
      <c r="G18" s="24"/>
      <c r="H18" s="24"/>
      <c r="I18" s="25">
        <f>SUM(I13:I16)</f>
        <v>26</v>
      </c>
    </row>
  </sheetData>
  <mergeCells count="3">
    <mergeCell ref="A1:D1"/>
    <mergeCell ref="F1:I1"/>
    <mergeCell ref="F11:I11"/>
  </mergeCells>
  <phoneticPr fontId="2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Da Costa</dc:creator>
  <cp:lastModifiedBy>Megan Da Costa</cp:lastModifiedBy>
  <dcterms:created xsi:type="dcterms:W3CDTF">2022-01-27T16:20:45Z</dcterms:created>
  <dcterms:modified xsi:type="dcterms:W3CDTF">2022-01-27T20:23:12Z</dcterms:modified>
</cp:coreProperties>
</file>